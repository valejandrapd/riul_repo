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iccionario de Datos" sheetId="2" state="visible" r:id="rId4"/>
    <sheet name="Matriz de Coherencia" sheetId="3" state="visible" r:id="rId5"/>
  </sheets>
  <definedNames>
    <definedName function="false" hidden="true" localSheetId="1" name="_xlnm._FilterDatabase" vbProcedure="false">'Diccionario de Datos'!$A$1:$F$334</definedName>
    <definedName function="false" hidden="true" localSheetId="2" name="_xlnm._FilterDatabase" vbProcedure="false">'Matriz de Coherencia'!$A$1:$G$110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<sst xmlns="http://schemas.openxmlformats.org/spreadsheetml/2006/main" count="2824" uniqueCount="1047">
  <si>
    <t xml:space="preserve">RIUL — Tarea 1.2: Diccionario de Datos y Matriz de Coherencia</t>
  </si>
  <si>
    <t xml:space="preserve">Modelo relacional de 50 entidades en 3FN, organizado en 6 módulos. Los conteos se calculan con fórmulas sobre las hojas de detalle.</t>
  </si>
  <si>
    <t xml:space="preserve">Módulo</t>
  </si>
  <si>
    <t xml:space="preserve">Nombre del módulo</t>
  </si>
  <si>
    <t xml:space="preserve">N.º de tablas</t>
  </si>
  <si>
    <t xml:space="preserve">N.º de campos</t>
  </si>
  <si>
    <t xml:space="preserve">Idea clave para sustentar</t>
  </si>
  <si>
    <t xml:space="preserve">A</t>
  </si>
  <si>
    <t xml:space="preserve">Seguridad, Cuentas y Estructura Académica</t>
  </si>
  <si>
    <t xml:space="preserve">Responde a "¿quién eres y qué puedes hacer?". Primero se define la estructura de la universidad (sede, facultad, programa). Luego se registra a cada persona con su cuenta y contraseña, y se le asignan roles con permisos. Cada sesión queda registrada por seguridad.</t>
  </si>
  <si>
    <t xml:space="preserve">B</t>
  </si>
  <si>
    <t xml:space="preserve">Semilleros y Proyectos</t>
  </si>
  <si>
    <t xml:space="preserve">Un semillero es un grupo de investigación con un tema y un coordinador. Sus miembros entran y salen con el tiempo, y todo cambio se guarda en un historial. Dentro del semillero se desarrollan proyectos con sus integrantes.</t>
  </si>
  <si>
    <t xml:space="preserve">C</t>
  </si>
  <si>
    <t xml:space="preserve">Convocatorias y Postulaciones</t>
  </si>
  <si>
    <t xml:space="preserve">La universidad abre una convocatoria con fechas y etapas, y define qué documentos se exigen. Los estudiantes se postulan y adjuntan sus archivos. Cada cambio de estado de la postulación queda guardado para poder demostrar qué pasó y cuándo.</t>
  </si>
  <si>
    <t xml:space="preserve">D</t>
  </si>
  <si>
    <t xml:space="preserve">Evaluación y Jurados</t>
  </si>
  <si>
    <t xml:space="preserve">Cada convocatoria tiene jurados asignados y una rúbrica, que es una tabla de criterios con su peso. El jurado califica cada criterio de una postulación. Así la nota final sale de reglas claras y no de la opinión suelta de alguien.</t>
  </si>
  <si>
    <t xml:space="preserve">E</t>
  </si>
  <si>
    <t xml:space="preserve">Gamificación e Insignias</t>
  </si>
  <si>
    <t xml:space="preserve">Para motivar la participación, cada acción suma puntos. Los puntos permiten subir de nivel, ganar insignias y aparecer en un ranking. Todo punto queda registrado como un movimiento, igual que un extracto bancario, así se puede explicar de dónde salió cada total.</t>
  </si>
  <si>
    <t xml:space="preserve">F</t>
  </si>
  <si>
    <t xml:space="preserve">Productos Científicos y Soporte</t>
  </si>
  <si>
    <t xml:space="preserve">Aquí se guarda lo que la investigación produce: artículos y ponencias, con sus autores y los eventos donde se presentan. Además, este módulo reúne los servicios de apoyo: avisos, archivos, comentarios de revisión, auditoría y configuración general.</t>
  </si>
  <si>
    <t xml:space="preserve">TOTAL</t>
  </si>
  <si>
    <t xml:space="preserve">Matriz de coherencia por flujo</t>
  </si>
  <si>
    <t xml:space="preserve">N.º</t>
  </si>
  <si>
    <t xml:space="preserve">Flujo del prototipo</t>
  </si>
  <si>
    <t xml:space="preserve">Controles mapeados</t>
  </si>
  <si>
    <t xml:space="preserve">1</t>
  </si>
  <si>
    <t xml:space="preserve">Inicio de sesión y Perfil institucional</t>
  </si>
  <si>
    <t xml:space="preserve">2</t>
  </si>
  <si>
    <t xml:space="preserve">Gestión de Semilleros</t>
  </si>
  <si>
    <t xml:space="preserve">3</t>
  </si>
  <si>
    <t xml:space="preserve">Publicación de Convocatorias y Cronograma</t>
  </si>
  <si>
    <t xml:space="preserve">4</t>
  </si>
  <si>
    <t xml:space="preserve">Formulario de Postulación con adjuntos en PDF</t>
  </si>
  <si>
    <t xml:space="preserve">5</t>
  </si>
  <si>
    <t xml:space="preserve">Calificación de Jurados mediante Rúbricas y Criterios</t>
  </si>
  <si>
    <t xml:space="preserve">6</t>
  </si>
  <si>
    <t xml:space="preserve">Vitrina de Insignias, Historial de Puntos y Ranking</t>
  </si>
  <si>
    <t xml:space="preserve">7</t>
  </si>
  <si>
    <t xml:space="preserve">Registro de Artículos y Ponencias en Eventos</t>
  </si>
  <si>
    <t xml:space="preserve">Notas:</t>
  </si>
  <si>
    <t xml:space="preserve">• Tablas, campos, tipos, PK, FK y UK provienen del diagrama ER cargado; los NOT NULL, DEFAULT y longitudes de VARCHAR son decisiones de diseño propuestas.</t>
  </si>
  <si>
    <t xml:space="preserve">• Los nombres de pantallas y controles de la matriz son los habituales de cada flujo; verifícalos contra el prototipo de Figma antes de entregar.</t>
  </si>
  <si>
    <t xml:space="preserve">• CRUD: C = Crear, R = Leer, U = Actualizar, D = Eliminar (normalmente baja lógica mediante el campo estado).</t>
  </si>
  <si>
    <t xml:space="preserve">• Restricciones: PK = llave primaria, FK = llave foránea (tabla.columna destino), UK = valor único.</t>
  </si>
  <si>
    <t xml:space="preserve">Tabla</t>
  </si>
  <si>
    <t xml:space="preserve">Campo / Columna</t>
  </si>
  <si>
    <t xml:space="preserve">Tipo SQL</t>
  </si>
  <si>
    <t xml:space="preserve">Restricciones</t>
  </si>
  <si>
    <t xml:space="preserve">Propósito funcional (fácil de explicar)</t>
  </si>
  <si>
    <t xml:space="preserve">sedes</t>
  </si>
  <si>
    <t xml:space="preserve">id_sede</t>
  </si>
  <si>
    <t xml:space="preserve">BIGINT</t>
  </si>
  <si>
    <t xml:space="preserve">PK, autoincremental</t>
  </si>
  <si>
    <t xml:space="preserve">Número único de cada sede de la universidad.</t>
  </si>
  <si>
    <t xml:space="preserve">nombre</t>
  </si>
  <si>
    <t xml:space="preserve">VARCHAR(120)</t>
  </si>
  <si>
    <t xml:space="preserve">UK, NOT NULL</t>
  </si>
  <si>
    <t xml:space="preserve">Nombre de la sede (por ejemplo, Barranquilla).</t>
  </si>
  <si>
    <t xml:space="preserve">codigo</t>
  </si>
  <si>
    <t xml:space="preserve">VARCHAR(20)</t>
  </si>
  <si>
    <t xml:space="preserve">Código corto institucional para identificar la sede en reportes.</t>
  </si>
  <si>
    <t xml:space="preserve">ciudad</t>
  </si>
  <si>
    <t xml:space="preserve">VARCHAR(80)</t>
  </si>
  <si>
    <t xml:space="preserve">NOT NULL</t>
  </si>
  <si>
    <t xml:space="preserve">Ciudad donde funciona la sede.</t>
  </si>
  <si>
    <t xml:space="preserve">direccion</t>
  </si>
  <si>
    <t xml:space="preserve">VARCHAR(200)</t>
  </si>
  <si>
    <t xml:space="preserve">NULL</t>
  </si>
  <si>
    <t xml:space="preserve">Dirección física de la sede.</t>
  </si>
  <si>
    <t xml:space="preserve">estado</t>
  </si>
  <si>
    <t xml:space="preserve">BOOLEAN</t>
  </si>
  <si>
    <t xml:space="preserve">NOT NULL, DEFAULT TRUE</t>
  </si>
  <si>
    <t xml:space="preserve">Indica si la sede está activa. Se desactiva en lugar de borrarse.</t>
  </si>
  <si>
    <t xml:space="preserve">creado_en</t>
  </si>
  <si>
    <t xml:space="preserve">TIMESTAMP</t>
  </si>
  <si>
    <t xml:space="preserve">NOT NULL, DEFAULT CURRENT_TIMESTAMP</t>
  </si>
  <si>
    <t xml:space="preserve">Fecha en que se registró la sede.</t>
  </si>
  <si>
    <t xml:space="preserve">facultades</t>
  </si>
  <si>
    <t xml:space="preserve">id_facultad</t>
  </si>
  <si>
    <t xml:space="preserve">Número único de cada facultad.</t>
  </si>
  <si>
    <t xml:space="preserve">FK -&gt; sedes.id_sede, NOT NULL</t>
  </si>
  <si>
    <t xml:space="preserve">Sede a la que pertenece la facultad.</t>
  </si>
  <si>
    <t xml:space="preserve">VARCHAR(150)</t>
  </si>
  <si>
    <t xml:space="preserve">Nombre de la facultad (por ejemplo, Ingeniería).</t>
  </si>
  <si>
    <t xml:space="preserve">Código institucional de la facultad.</t>
  </si>
  <si>
    <t xml:space="preserve">descripcion</t>
  </si>
  <si>
    <t xml:space="preserve">TEXT</t>
  </si>
  <si>
    <t xml:space="preserve">Explicación breve de qué estudia la facultad.</t>
  </si>
  <si>
    <t xml:space="preserve">Indica si la facultad está activa.</t>
  </si>
  <si>
    <t xml:space="preserve">programas</t>
  </si>
  <si>
    <t xml:space="preserve">id_programa</t>
  </si>
  <si>
    <t xml:space="preserve">Número único de cada programa académico.</t>
  </si>
  <si>
    <t xml:space="preserve">FK -&gt; facultades.id_facultad, NOT NULL</t>
  </si>
  <si>
    <t xml:space="preserve">Facultad que ofrece el programa.</t>
  </si>
  <si>
    <t xml:space="preserve">Sede donde se dicta el programa.</t>
  </si>
  <si>
    <t xml:space="preserve">Nombre del programa (por ejemplo, Ingeniería de Sistemas).</t>
  </si>
  <si>
    <t xml:space="preserve">Código institucional del programa.</t>
  </si>
  <si>
    <t xml:space="preserve">nivel</t>
  </si>
  <si>
    <t xml:space="preserve">VARCHAR(40)</t>
  </si>
  <si>
    <t xml:space="preserve">Nivel de formación: pregrado, especialización, maestría, etc.</t>
  </si>
  <si>
    <t xml:space="preserve">Indica si el programa sigue vigente.</t>
  </si>
  <si>
    <t xml:space="preserve">usuarios</t>
  </si>
  <si>
    <t xml:space="preserve">id_usuario</t>
  </si>
  <si>
    <t xml:space="preserve">Número único de cada persona en el sistema.</t>
  </si>
  <si>
    <t xml:space="preserve">FK -&gt; programas.id_programa, NULL</t>
  </si>
  <si>
    <t xml:space="preserve">Programa al que pertenece. Queda vacío si es personal administrativo.</t>
  </si>
  <si>
    <t xml:space="preserve">Sede donde estudia o trabaja la persona.</t>
  </si>
  <si>
    <t xml:space="preserve">tipo_usuario</t>
  </si>
  <si>
    <t xml:space="preserve">VARCHAR(30)</t>
  </si>
  <si>
    <t xml:space="preserve">Tipo de persona: estudiante, docente, administrativo o externo.</t>
  </si>
  <si>
    <t xml:space="preserve">nombres</t>
  </si>
  <si>
    <t xml:space="preserve">VARCHAR(100)</t>
  </si>
  <si>
    <t xml:space="preserve">Nombres de la persona, para mostrar en el perfil.</t>
  </si>
  <si>
    <t xml:space="preserve">apellidos</t>
  </si>
  <si>
    <t xml:space="preserve">Apellidos de la persona.</t>
  </si>
  <si>
    <t xml:space="preserve">correo_institucional</t>
  </si>
  <si>
    <t xml:space="preserve">Correo de la universidad; sirve para iniciar sesión y recibir avisos.</t>
  </si>
  <si>
    <t xml:space="preserve">codigo_institucional</t>
  </si>
  <si>
    <t xml:space="preserve">Código estudiantil o de empleado. Evita duplicar personas.</t>
  </si>
  <si>
    <t xml:space="preserve">telefono</t>
  </si>
  <si>
    <t xml:space="preserve">Teléfono de contacto (opcional).</t>
  </si>
  <si>
    <t xml:space="preserve">NOT NULL, DEFAULT 'activo'</t>
  </si>
  <si>
    <t xml:space="preserve">Estado de la cuenta: activo, inactivo o suspendido.</t>
  </si>
  <si>
    <t xml:space="preserve">Fecha de registro en la plataforma.</t>
  </si>
  <si>
    <t xml:space="preserve">actualizado_en</t>
  </si>
  <si>
    <t xml:space="preserve">Última vez que se modificaron los datos del perfil.</t>
  </si>
  <si>
    <t xml:space="preserve">credenciales</t>
  </si>
  <si>
    <t xml:space="preserve">id_credencial</t>
  </si>
  <si>
    <t xml:space="preserve">Número único de cada forma de ingreso.</t>
  </si>
  <si>
    <t xml:space="preserve">FK -&gt; usuarios.id_usuario, NOT NULL</t>
  </si>
  <si>
    <t xml:space="preserve">Persona dueña de esta credencial.</t>
  </si>
  <si>
    <t xml:space="preserve">proveedor</t>
  </si>
  <si>
    <t xml:space="preserve">Cómo inicia sesión: contraseña local o cuenta institucional (por ejemplo, Google).</t>
  </si>
  <si>
    <t xml:space="preserve">identificador_externo</t>
  </si>
  <si>
    <t xml:space="preserve">VARCHAR(190)</t>
  </si>
  <si>
    <t xml:space="preserve">UK, NULL</t>
  </si>
  <si>
    <t xml:space="preserve">Identificador de la cuenta externa, si inicia con proveedor externo.</t>
  </si>
  <si>
    <t xml:space="preserve">hash_contrasena</t>
  </si>
  <si>
    <t xml:space="preserve">VARCHAR(255)</t>
  </si>
  <si>
    <t xml:space="preserve">Contraseña guardada cifrada (nunca en texto plano), por seguridad.</t>
  </si>
  <si>
    <t xml:space="preserve">ultimo_acceso_en</t>
  </si>
  <si>
    <t xml:space="preserve">Fecha del último ingreso exitoso.</t>
  </si>
  <si>
    <t xml:space="preserve">requiere_cambio_clave</t>
  </si>
  <si>
    <t xml:space="preserve">NOT NULL, DEFAULT FALSE</t>
  </si>
  <si>
    <t xml:space="preserve">Obliga a cambiar la contraseña en el siguiente ingreso.</t>
  </si>
  <si>
    <t xml:space="preserve">Fecha en que se creó la credencial.</t>
  </si>
  <si>
    <t xml:space="preserve">roles</t>
  </si>
  <si>
    <t xml:space="preserve">id_rol</t>
  </si>
  <si>
    <t xml:space="preserve">Número único de cada rol.</t>
  </si>
  <si>
    <t xml:space="preserve">VARCHAR(60)</t>
  </si>
  <si>
    <t xml:space="preserve">Nombre del rol: Estudiante, Docente Líder, Jurado, Administrador, etc.</t>
  </si>
  <si>
    <t xml:space="preserve">Qué hace ese rol dentro del sistema.</t>
  </si>
  <si>
    <t xml:space="preserve">es_sistema</t>
  </si>
  <si>
    <t xml:space="preserve">Marca los roles básicos que no se pueden borrar.</t>
  </si>
  <si>
    <t xml:space="preserve">permisos</t>
  </si>
  <si>
    <t xml:space="preserve">id_permiso</t>
  </si>
  <si>
    <t xml:space="preserve">Número único de cada permiso.</t>
  </si>
  <si>
    <t xml:space="preserve">Nombre técnico de la acción permitida (por ejemplo, convocatoria.publicar).</t>
  </si>
  <si>
    <t xml:space="preserve">modulo</t>
  </si>
  <si>
    <t xml:space="preserve">Parte del sistema a la que pertenece el permiso.</t>
  </si>
  <si>
    <t xml:space="preserve">Explicación en lenguaje simple de lo que autoriza.</t>
  </si>
  <si>
    <t xml:space="preserve">usuario_rol</t>
  </si>
  <si>
    <t xml:space="preserve">PK, FK -&gt; usuarios.id_usuario</t>
  </si>
  <si>
    <t xml:space="preserve">Persona que recibe el rol.</t>
  </si>
  <si>
    <t xml:space="preserve">PK, FK -&gt; roles.id_rol</t>
  </si>
  <si>
    <t xml:space="preserve">Rol que se le asigna.</t>
  </si>
  <si>
    <t xml:space="preserve">asignado_por</t>
  </si>
  <si>
    <t xml:space="preserve">FK -&gt; usuarios.id_usuario, NULL</t>
  </si>
  <si>
    <t xml:space="preserve">Administrador que otorgó el rol (quién lo autorizó).</t>
  </si>
  <si>
    <t xml:space="preserve">asignado_en</t>
  </si>
  <si>
    <t xml:space="preserve">Fecha en que se asignó el rol.</t>
  </si>
  <si>
    <t xml:space="preserve">vigente_hasta</t>
  </si>
  <si>
    <t xml:space="preserve">Fecha en que el rol vence. Si está vacío, no vence.</t>
  </si>
  <si>
    <t xml:space="preserve">rol_permiso</t>
  </si>
  <si>
    <t xml:space="preserve">Rol que recibe el permiso.</t>
  </si>
  <si>
    <t xml:space="preserve">PK, FK -&gt; permisos.id_permiso</t>
  </si>
  <si>
    <t xml:space="preserve">Permiso que se le concede.</t>
  </si>
  <si>
    <t xml:space="preserve">concedido_en</t>
  </si>
  <si>
    <t xml:space="preserve">Fecha en que el rol obtuvo ese permiso.</t>
  </si>
  <si>
    <t xml:space="preserve">sesiones_acceso</t>
  </si>
  <si>
    <t xml:space="preserve">id_sesion</t>
  </si>
  <si>
    <t xml:space="preserve">Número único de cada sesión iniciada.</t>
  </si>
  <si>
    <t xml:space="preserve">Persona que inició sesión.</t>
  </si>
  <si>
    <t xml:space="preserve">token_hash</t>
  </si>
  <si>
    <t xml:space="preserve">Llave secreta de la sesión, guardada cifrada.</t>
  </si>
  <si>
    <t xml:space="preserve">ip_origen</t>
  </si>
  <si>
    <t xml:space="preserve">VARCHAR(45)</t>
  </si>
  <si>
    <t xml:space="preserve">Dirección IP desde donde se conectó. Sirve para detectar accesos raros.</t>
  </si>
  <si>
    <t xml:space="preserve">agente_usuario</t>
  </si>
  <si>
    <t xml:space="preserve">Navegador o dispositivo usado.</t>
  </si>
  <si>
    <t xml:space="preserve">iniciada_en</t>
  </si>
  <si>
    <t xml:space="preserve">Momento en que empezó la sesión.</t>
  </si>
  <si>
    <t xml:space="preserve">expira_en</t>
  </si>
  <si>
    <t xml:space="preserve">Momento en que la sesión se cierra automáticamente.</t>
  </si>
  <si>
    <t xml:space="preserve">revocada_en</t>
  </si>
  <si>
    <t xml:space="preserve">Momento en que se cerró manualmente (cerrar sesión).</t>
  </si>
  <si>
    <t xml:space="preserve">lineas_investigacion</t>
  </si>
  <si>
    <t xml:space="preserve">id_linea</t>
  </si>
  <si>
    <t xml:space="preserve">Número único de cada línea temática.</t>
  </si>
  <si>
    <t xml:space="preserve">Facultad a la que pertenece la línea.</t>
  </si>
  <si>
    <t xml:space="preserve">Nombre del tema (por ejemplo, Inteligencia Artificial).</t>
  </si>
  <si>
    <t xml:space="preserve">Código oficial de la línea.</t>
  </si>
  <si>
    <t xml:space="preserve">Explicación de qué se investiga en esa línea.</t>
  </si>
  <si>
    <t xml:space="preserve">Indica si la línea está activa.</t>
  </si>
  <si>
    <t xml:space="preserve">semilleros</t>
  </si>
  <si>
    <t xml:space="preserve">id_semillero</t>
  </si>
  <si>
    <t xml:space="preserve">Número único de cada semillero.</t>
  </si>
  <si>
    <t xml:space="preserve">FK -&gt; programas.id_programa, NOT NULL</t>
  </si>
  <si>
    <t xml:space="preserve">Programa académico al que está adscrito.</t>
  </si>
  <si>
    <t xml:space="preserve">Sede donde funciona.</t>
  </si>
  <si>
    <t xml:space="preserve">id_coordinador</t>
  </si>
  <si>
    <t xml:space="preserve">Docente responsable del semillero.</t>
  </si>
  <si>
    <t xml:space="preserve">Nombre del semillero.</t>
  </si>
  <si>
    <t xml:space="preserve">Código único del semillero.</t>
  </si>
  <si>
    <t xml:space="preserve">objetivo</t>
  </si>
  <si>
    <t xml:space="preserve">Para qué existe el semillero, en pocas palabras.</t>
  </si>
  <si>
    <t xml:space="preserve">fecha_creacion</t>
  </si>
  <si>
    <t xml:space="preserve">DATE</t>
  </si>
  <si>
    <t xml:space="preserve">Fecha en que se fundó el semillero.</t>
  </si>
  <si>
    <t xml:space="preserve">Estado: activo, inactivo o en formación.</t>
  </si>
  <si>
    <t xml:space="preserve">Fecha en que se registró en la plataforma.</t>
  </si>
  <si>
    <t xml:space="preserve">semillero_linea</t>
  </si>
  <si>
    <t xml:space="preserve">PK, FK -&gt; semilleros.id_semillero</t>
  </si>
  <si>
    <t xml:space="preserve">Semillero que trabaja la línea.</t>
  </si>
  <si>
    <t xml:space="preserve">PK, FK -&gt; lineas_investigacion.id_linea</t>
  </si>
  <si>
    <t xml:space="preserve">Línea temática que trabaja.</t>
  </si>
  <si>
    <t xml:space="preserve">principal</t>
  </si>
  <si>
    <t xml:space="preserve">Marca la línea principal del semillero. Un semillero puede tener varias.</t>
  </si>
  <si>
    <t xml:space="preserve">miembros_semillero</t>
  </si>
  <si>
    <t xml:space="preserve">id_membresia</t>
  </si>
  <si>
    <t xml:space="preserve">Número único de cada vinculación a un semillero.</t>
  </si>
  <si>
    <t xml:space="preserve">FK -&gt; semilleros.id_semillero, NOT NULL</t>
  </si>
  <si>
    <t xml:space="preserve">Semillero al que se vincula la persona.</t>
  </si>
  <si>
    <t xml:space="preserve">Estudiante o docente que se vincula.</t>
  </si>
  <si>
    <t xml:space="preserve">rol_en_semillero</t>
  </si>
  <si>
    <t xml:space="preserve">Papel dentro del grupo: integrante, líder estudiantil, coordinador.</t>
  </si>
  <si>
    <t xml:space="preserve">fecha_ingreso</t>
  </si>
  <si>
    <t xml:space="preserve">Fecha en que entró al semillero.</t>
  </si>
  <si>
    <t xml:space="preserve">fecha_retiro</t>
  </si>
  <si>
    <t xml:space="preserve">Fecha en que salió. Vacío si sigue activo.</t>
  </si>
  <si>
    <t xml:space="preserve">Estado de la vinculación: activo, retirado o pendiente.</t>
  </si>
  <si>
    <t xml:space="preserve">observaciones</t>
  </si>
  <si>
    <t xml:space="preserve">Notas libres sobre la vinculación.</t>
  </si>
  <si>
    <t xml:space="preserve">historial_miembros</t>
  </si>
  <si>
    <t xml:space="preserve">id_historial_miembro</t>
  </si>
  <si>
    <t xml:space="preserve">Número único de cada cambio registrado.</t>
  </si>
  <si>
    <t xml:space="preserve">FK -&gt; miembros_semillero.id_membresia, NOT NULL</t>
  </si>
  <si>
    <t xml:space="preserve">Vinculación que cambió.</t>
  </si>
  <si>
    <t xml:space="preserve">id_usuario_actor</t>
  </si>
  <si>
    <t xml:space="preserve">Persona que hizo el cambio (queda trazabilidad).</t>
  </si>
  <si>
    <t xml:space="preserve">accion</t>
  </si>
  <si>
    <t xml:space="preserve">Qué ocurrió: ingreso, cambio de rol o retiro.</t>
  </si>
  <si>
    <t xml:space="preserve">fecha_evento</t>
  </si>
  <si>
    <t xml:space="preserve">Momento exacto del cambio.</t>
  </si>
  <si>
    <t xml:space="preserve">detalle</t>
  </si>
  <si>
    <t xml:space="preserve">Explicación del cambio.</t>
  </si>
  <si>
    <t xml:space="preserve">proyectos</t>
  </si>
  <si>
    <t xml:space="preserve">id_proyecto</t>
  </si>
  <si>
    <t xml:space="preserve">Número único de cada proyecto.</t>
  </si>
  <si>
    <t xml:space="preserve">Semillero que desarrolla el proyecto.</t>
  </si>
  <si>
    <t xml:space="preserve">FK -&gt; lineas_investigacion.id_linea, NOT NULL</t>
  </si>
  <si>
    <t xml:space="preserve">Línea temática en la que se enmarca.</t>
  </si>
  <si>
    <t xml:space="preserve">id_lider</t>
  </si>
  <si>
    <t xml:space="preserve">Persona que lidera el proyecto.</t>
  </si>
  <si>
    <t xml:space="preserve">titulo</t>
  </si>
  <si>
    <t xml:space="preserve">Nombre del proyecto.</t>
  </si>
  <si>
    <t xml:space="preserve">resumen</t>
  </si>
  <si>
    <t xml:space="preserve">Descripción corta del proyecto.</t>
  </si>
  <si>
    <t xml:space="preserve">objetivo_general</t>
  </si>
  <si>
    <t xml:space="preserve">Meta principal que se quiere lograr.</t>
  </si>
  <si>
    <t xml:space="preserve">fecha_inicio</t>
  </si>
  <si>
    <t xml:space="preserve">Fecha de inicio.</t>
  </si>
  <si>
    <t xml:space="preserve">fecha_fin</t>
  </si>
  <si>
    <t xml:space="preserve">Fecha de cierre prevista o real.</t>
  </si>
  <si>
    <t xml:space="preserve">NOT NULL, DEFAULT 'formulacion'</t>
  </si>
  <si>
    <t xml:space="preserve">Etapa: formulación, en ejecución, finalizado o cancelado.</t>
  </si>
  <si>
    <t xml:space="preserve">presupuesto_estimado</t>
  </si>
  <si>
    <t xml:space="preserve">DECIMAL(14,2)</t>
  </si>
  <si>
    <t xml:space="preserve">Dinero que se calcula necesario para el proyecto.</t>
  </si>
  <si>
    <t xml:space="preserve">proyecto_integrante</t>
  </si>
  <si>
    <t xml:space="preserve">PK, FK -&gt; proyectos.id_proyecto</t>
  </si>
  <si>
    <t xml:space="preserve">Proyecto en el que participa la persona.</t>
  </si>
  <si>
    <t xml:space="preserve">Persona que participa.</t>
  </si>
  <si>
    <t xml:space="preserve">rol_proyecto</t>
  </si>
  <si>
    <t xml:space="preserve">Papel en el proyecto: investigador, asesor, auxiliar.</t>
  </si>
  <si>
    <t xml:space="preserve">fecha_vinculacion</t>
  </si>
  <si>
    <t xml:space="preserve">Fecha en que se unió al proyecto.</t>
  </si>
  <si>
    <t xml:space="preserve">fecha_desvinculacion</t>
  </si>
  <si>
    <t xml:space="preserve">Fecha en que dejó el proyecto.</t>
  </si>
  <si>
    <t xml:space="preserve">convocatorias</t>
  </si>
  <si>
    <t xml:space="preserve">id_convocatoria</t>
  </si>
  <si>
    <t xml:space="preserve">Número único de cada convocatoria.</t>
  </si>
  <si>
    <t xml:space="preserve">Sede que abre la convocatoria.</t>
  </si>
  <si>
    <t xml:space="preserve">id_responsable</t>
  </si>
  <si>
    <t xml:space="preserve">Administrador que la creó y responde por ella.</t>
  </si>
  <si>
    <t xml:space="preserve">Nombre público de la convocatoria.</t>
  </si>
  <si>
    <t xml:space="preserve">Código único (por ejemplo, CONV-2026-01).</t>
  </si>
  <si>
    <t xml:space="preserve">Explicación de qué se financia y a quién va dirigida.</t>
  </si>
  <si>
    <t xml:space="preserve">fecha_publicacion</t>
  </si>
  <si>
    <t xml:space="preserve">Momento en que se hace visible a los estudiantes.</t>
  </si>
  <si>
    <t xml:space="preserve">fecha_apertura</t>
  </si>
  <si>
    <t xml:space="preserve">Desde cuándo se reciben postulaciones.</t>
  </si>
  <si>
    <t xml:space="preserve">fecha_cierre</t>
  </si>
  <si>
    <t xml:space="preserve">Hasta cuándo se reciben postulaciones.</t>
  </si>
  <si>
    <t xml:space="preserve">NOT NULL, DEFAULT 'borrador'</t>
  </si>
  <si>
    <t xml:space="preserve">Estado: borrador, publicada, abierta, cerrada o finalizada.</t>
  </si>
  <si>
    <t xml:space="preserve">presupuesto_total</t>
  </si>
  <si>
    <t xml:space="preserve">Dinero total disponible para la convocatoria.</t>
  </si>
  <si>
    <t xml:space="preserve">fases_convocatoria</t>
  </si>
  <si>
    <t xml:space="preserve">id_fase</t>
  </si>
  <si>
    <t xml:space="preserve">Número único de cada etapa del cronograma.</t>
  </si>
  <si>
    <t xml:space="preserve">FK -&gt; convocatorias.id_convocatoria, NOT NULL</t>
  </si>
  <si>
    <t xml:space="preserve">Convocatoria a la que pertenece la etapa.</t>
  </si>
  <si>
    <t xml:space="preserve">Nombre de la etapa (por ejemplo, Evaluación, Resultados).</t>
  </si>
  <si>
    <t xml:space="preserve">orden</t>
  </si>
  <si>
    <t xml:space="preserve">SMALLINT</t>
  </si>
  <si>
    <t xml:space="preserve">Posición de la etapa en el cronograma (1, 2, 3...).</t>
  </si>
  <si>
    <t xml:space="preserve">Cuándo empieza la etapa.</t>
  </si>
  <si>
    <t xml:space="preserve">Cuándo termina la etapa.</t>
  </si>
  <si>
    <t xml:space="preserve">NOT NULL, DEFAULT 'pendiente'</t>
  </si>
  <si>
    <t xml:space="preserve">Estado: pendiente, en curso o terminada.</t>
  </si>
  <si>
    <t xml:space="preserve">requisitos_convocatoria</t>
  </si>
  <si>
    <t xml:space="preserve">id_requisito</t>
  </si>
  <si>
    <t xml:space="preserve">Número único de cada requisito.</t>
  </si>
  <si>
    <t xml:space="preserve">Nombre del requisito (por ejemplo, Carta del docente).</t>
  </si>
  <si>
    <t xml:space="preserve">Qué debe presentar el estudiante.</t>
  </si>
  <si>
    <t xml:space="preserve">tipo</t>
  </si>
  <si>
    <t xml:space="preserve">Tipo de requisito: documento, dato o declaración.</t>
  </si>
  <si>
    <t xml:space="preserve">obligatorio</t>
  </si>
  <si>
    <t xml:space="preserve">Indica si es indispensable para postularse.</t>
  </si>
  <si>
    <t xml:space="preserve">convocatoria_requisito</t>
  </si>
  <si>
    <t xml:space="preserve">PK, FK -&gt; convocatorias.id_convocatoria</t>
  </si>
  <si>
    <t xml:space="preserve">Convocatoria que exige el requisito.</t>
  </si>
  <si>
    <t xml:space="preserve">PK, FK -&gt; requisitos_convocatoria.id_requisito</t>
  </si>
  <si>
    <t xml:space="preserve">Requisito que se exige.</t>
  </si>
  <si>
    <t xml:space="preserve">instrucciones</t>
  </si>
  <si>
    <t xml:space="preserve">Indicaciones específicas para esta convocatoria.</t>
  </si>
  <si>
    <t xml:space="preserve">Orden en que aparece en el formulario.</t>
  </si>
  <si>
    <t xml:space="preserve">postulaciones</t>
  </si>
  <si>
    <t xml:space="preserve">id_postulacion</t>
  </si>
  <si>
    <t xml:space="preserve">Número único de cada postulación.</t>
  </si>
  <si>
    <t xml:space="preserve">Convocatoria a la que aplica.</t>
  </si>
  <si>
    <t xml:space="preserve">id_usuario_solicitante</t>
  </si>
  <si>
    <t xml:space="preserve">Estudiante que envía la postulación.</t>
  </si>
  <si>
    <t xml:space="preserve">FK -&gt; proyectos.id_proyecto, NOT NULL</t>
  </si>
  <si>
    <t xml:space="preserve">Proyecto con el que se postula.</t>
  </si>
  <si>
    <t xml:space="preserve">titulo_propuesta</t>
  </si>
  <si>
    <t xml:space="preserve">Título de la propuesta presentada.</t>
  </si>
  <si>
    <t xml:space="preserve">justificacion</t>
  </si>
  <si>
    <t xml:space="preserve">Por qué el proyecto merece ser seleccionado.</t>
  </si>
  <si>
    <t xml:space="preserve">fecha_envio</t>
  </si>
  <si>
    <t xml:space="preserve">Momento en que se envió. Vacío si sigue en borrador.</t>
  </si>
  <si>
    <t xml:space="preserve">VARCHAR(25)</t>
  </si>
  <si>
    <t xml:space="preserve">Estado: borrador, enviada, en evaluación, aprobada o rechazada.</t>
  </si>
  <si>
    <t xml:space="preserve">Comentarios de la administración sobre la postulación.</t>
  </si>
  <si>
    <t xml:space="preserve">documentos_postulacion</t>
  </si>
  <si>
    <t xml:space="preserve">id_documento_postulacion</t>
  </si>
  <si>
    <t xml:space="preserve">Número único de cada documento adjunto.</t>
  </si>
  <si>
    <t xml:space="preserve">FK -&gt; postulaciones.id_postulacion, NOT NULL</t>
  </si>
  <si>
    <t xml:space="preserve">Postulación a la que pertenece el adjunto.</t>
  </si>
  <si>
    <t xml:space="preserve">FK -&gt; requisitos_convocatoria.id_requisito, NOT NULL</t>
  </si>
  <si>
    <t xml:space="preserve">Requisito que el archivo está cumpliendo.</t>
  </si>
  <si>
    <t xml:space="preserve">nombre_archivo</t>
  </si>
  <si>
    <t xml:space="preserve">Nombre del archivo PDF cargado.</t>
  </si>
  <si>
    <t xml:space="preserve">url_archivo</t>
  </si>
  <si>
    <t xml:space="preserve">VARCHAR(500)</t>
  </si>
  <si>
    <t xml:space="preserve">Ruta donde está guardado el archivo.</t>
  </si>
  <si>
    <t xml:space="preserve">tipo_mime</t>
  </si>
  <si>
    <t xml:space="preserve">Tipo de archivo (application/pdf). Permite validar que sea PDF.</t>
  </si>
  <si>
    <t xml:space="preserve">tamano_bytes</t>
  </si>
  <si>
    <t xml:space="preserve">Peso del archivo, para limitar el tamaño máximo.</t>
  </si>
  <si>
    <t xml:space="preserve">cargado_por</t>
  </si>
  <si>
    <t xml:space="preserve">Persona que subió el archivo.</t>
  </si>
  <si>
    <t xml:space="preserve">cargado_en</t>
  </si>
  <si>
    <t xml:space="preserve">Momento de la carga.</t>
  </si>
  <si>
    <t xml:space="preserve">historial_postulacion</t>
  </si>
  <si>
    <t xml:space="preserve">id_historial_postulacion</t>
  </si>
  <si>
    <t xml:space="preserve">Número único de cada cambio de estado.</t>
  </si>
  <si>
    <t xml:space="preserve">Postulación que cambió de estado.</t>
  </si>
  <si>
    <t xml:space="preserve">Quién hizo el cambio.</t>
  </si>
  <si>
    <t xml:space="preserve">estado_anterior</t>
  </si>
  <si>
    <t xml:space="preserve">Estado antes del cambio.</t>
  </si>
  <si>
    <t xml:space="preserve">estado_nuevo</t>
  </si>
  <si>
    <t xml:space="preserve">Estado después del cambio.</t>
  </si>
  <si>
    <t xml:space="preserve">motivo</t>
  </si>
  <si>
    <t xml:space="preserve">Razón del cambio (por ejemplo, documento faltante).</t>
  </si>
  <si>
    <t xml:space="preserve">Momento del cambio.</t>
  </si>
  <si>
    <t xml:space="preserve">evaluadores</t>
  </si>
  <si>
    <t xml:space="preserve">id_evaluador</t>
  </si>
  <si>
    <t xml:space="preserve">Número único de cada jurado.</t>
  </si>
  <si>
    <t xml:space="preserve">Cuenta de usuario del jurado.</t>
  </si>
  <si>
    <t xml:space="preserve">especialidad</t>
  </si>
  <si>
    <t xml:space="preserve">Área en la que es experto.</t>
  </si>
  <si>
    <t xml:space="preserve">externo</t>
  </si>
  <si>
    <t xml:space="preserve">Indica si el jurado es de fuera de la universidad.</t>
  </si>
  <si>
    <t xml:space="preserve">activo</t>
  </si>
  <si>
    <t xml:space="preserve">Indica si puede recibir nuevas asignaciones.</t>
  </si>
  <si>
    <t xml:space="preserve">convocatoria_evaluador</t>
  </si>
  <si>
    <t xml:space="preserve">Convocatoria donde actúa el jurado.</t>
  </si>
  <si>
    <t xml:space="preserve">PK, FK -&gt; evaluadores.id_evaluador</t>
  </si>
  <si>
    <t xml:space="preserve">Jurado asignado.</t>
  </si>
  <si>
    <t xml:space="preserve">Fecha de la asignación.</t>
  </si>
  <si>
    <t xml:space="preserve">conflicto_interes_declarado</t>
  </si>
  <si>
    <t xml:space="preserve">El jurado avisa si conoce a algún postulante, para garantizar imparcialidad.</t>
  </si>
  <si>
    <t xml:space="preserve">estado_asignacion</t>
  </si>
  <si>
    <t xml:space="preserve">Estado: pendiente, aceptada o rechazada.</t>
  </si>
  <si>
    <t xml:space="preserve">criterios_evaluacion</t>
  </si>
  <si>
    <t xml:space="preserve">id_criterio</t>
  </si>
  <si>
    <t xml:space="preserve">Número único de cada criterio.</t>
  </si>
  <si>
    <t xml:space="preserve">Qué se evalúa (por ejemplo, Originalidad, Impacto).</t>
  </si>
  <si>
    <t xml:space="preserve">Explicación para el jurado de cómo calificarlo.</t>
  </si>
  <si>
    <t xml:space="preserve">puntaje_maximo</t>
  </si>
  <si>
    <t xml:space="preserve">DECIMAL(5,2)</t>
  </si>
  <si>
    <t xml:space="preserve">Nota más alta posible en ese criterio.</t>
  </si>
  <si>
    <t xml:space="preserve">Indica si el criterio se puede seguir usando.</t>
  </si>
  <si>
    <t xml:space="preserve">rubricas</t>
  </si>
  <si>
    <t xml:space="preserve">id_rubrica</t>
  </si>
  <si>
    <t xml:space="preserve">Número único de cada rúbrica.</t>
  </si>
  <si>
    <t xml:space="preserve">Convocatoria que usa esta rúbrica.</t>
  </si>
  <si>
    <t xml:space="preserve">Nombre de la rúbrica.</t>
  </si>
  <si>
    <t xml:space="preserve">version</t>
  </si>
  <si>
    <t xml:space="preserve">Versión, para saber con cuál se evaluó si cambia.</t>
  </si>
  <si>
    <t xml:space="preserve">Indicaciones generales para los jurados.</t>
  </si>
  <si>
    <t xml:space="preserve">activa</t>
  </si>
  <si>
    <t xml:space="preserve">Indica si es la rúbrica vigente.</t>
  </si>
  <si>
    <t xml:space="preserve">rubrica_criterio</t>
  </si>
  <si>
    <t xml:space="preserve">PK, FK -&gt; rubricas.id_rubrica</t>
  </si>
  <si>
    <t xml:space="preserve">Rúbrica que incluye el criterio.</t>
  </si>
  <si>
    <t xml:space="preserve">PK, FK -&gt; criterios_evaluacion.id_criterio</t>
  </si>
  <si>
    <t xml:space="preserve">Criterio que se incluye.</t>
  </si>
  <si>
    <t xml:space="preserve">ponderacion</t>
  </si>
  <si>
    <t xml:space="preserve">Peso del criterio en la nota final (por ejemplo, 30 %).</t>
  </si>
  <si>
    <t xml:space="preserve">Orden en que aparece en el formulario del jurado.</t>
  </si>
  <si>
    <t xml:space="preserve">evaluaciones</t>
  </si>
  <si>
    <t xml:space="preserve">id_evaluacion</t>
  </si>
  <si>
    <t xml:space="preserve">Número único de cada evaluación.</t>
  </si>
  <si>
    <t xml:space="preserve">Postulación que se está evaluando.</t>
  </si>
  <si>
    <t xml:space="preserve">FK -&gt; evaluadores.id_evaluador, NOT NULL</t>
  </si>
  <si>
    <t xml:space="preserve">Jurado que evalúa.</t>
  </si>
  <si>
    <t xml:space="preserve">FK -&gt; rubricas.id_rubrica, NOT NULL</t>
  </si>
  <si>
    <t xml:space="preserve">Rúbrica con la que se califica.</t>
  </si>
  <si>
    <t xml:space="preserve">Cuándo el jurado empezó a calificar.</t>
  </si>
  <si>
    <t xml:space="preserve">Cuándo envió la evaluación final.</t>
  </si>
  <si>
    <t xml:space="preserve">NOT NULL, DEFAULT 'en_progreso'</t>
  </si>
  <si>
    <t xml:space="preserve">Estado: en progreso o enviada.</t>
  </si>
  <si>
    <t xml:space="preserve">comentario_general</t>
  </si>
  <si>
    <t xml:space="preserve">Opinión global del jurado sobre la propuesta.</t>
  </si>
  <si>
    <t xml:space="preserve">calificaciones</t>
  </si>
  <si>
    <t xml:space="preserve">id_calificacion</t>
  </si>
  <si>
    <t xml:space="preserve">Número único de cada nota.</t>
  </si>
  <si>
    <t xml:space="preserve">FK -&gt; evaluaciones.id_evaluacion, NOT NULL</t>
  </si>
  <si>
    <t xml:space="preserve">Evaluación a la que pertenece la nota.</t>
  </si>
  <si>
    <t xml:space="preserve">FK -&gt; criterios_evaluacion.id_criterio, NOT NULL</t>
  </si>
  <si>
    <t xml:space="preserve">Criterio calificado.</t>
  </si>
  <si>
    <t xml:space="preserve">puntaje</t>
  </si>
  <si>
    <t xml:space="preserve">Nota que el jurado dio en ese criterio.</t>
  </si>
  <si>
    <t xml:space="preserve">comentario</t>
  </si>
  <si>
    <t xml:space="preserve">Justificación de esa nota.</t>
  </si>
  <si>
    <t xml:space="preserve">niveles_gamificacion</t>
  </si>
  <si>
    <t xml:space="preserve">id_nivel</t>
  </si>
  <si>
    <t xml:space="preserve">Número único de cada nivel.</t>
  </si>
  <si>
    <t xml:space="preserve">Nombre del nivel (por ejemplo, Semilla, Explorador, Investigador).</t>
  </si>
  <si>
    <t xml:space="preserve">puntos_minimos</t>
  </si>
  <si>
    <t xml:space="preserve">INT</t>
  </si>
  <si>
    <t xml:space="preserve">Puntos necesarios para alcanzar el nivel.</t>
  </si>
  <si>
    <t xml:space="preserve">Qué significa estar en ese nivel.</t>
  </si>
  <si>
    <t xml:space="preserve">Posición del nivel en la escalera de progreso.</t>
  </si>
  <si>
    <t xml:space="preserve">insignias</t>
  </si>
  <si>
    <t xml:space="preserve">id_insignia</t>
  </si>
  <si>
    <t xml:space="preserve">Número único de cada insignia.</t>
  </si>
  <si>
    <t xml:space="preserve">Nombre de la insignia (por ejemplo, Primer Artículo).</t>
  </si>
  <si>
    <t xml:space="preserve">Qué hay que hacer para ganarla.</t>
  </si>
  <si>
    <t xml:space="preserve">icono_url</t>
  </si>
  <si>
    <t xml:space="preserve">Imagen que se muestra en la vitrina.</t>
  </si>
  <si>
    <t xml:space="preserve">FK -&gt; niveles_gamificacion.id_nivel, NULL</t>
  </si>
  <si>
    <t xml:space="preserve">Nivel al que está asociada la insignia.</t>
  </si>
  <si>
    <t xml:space="preserve">puntos_recompensa</t>
  </si>
  <si>
    <t xml:space="preserve">NOT NULL, DEFAULT 0</t>
  </si>
  <si>
    <t xml:space="preserve">Puntos extra que da al ganarla.</t>
  </si>
  <si>
    <t xml:space="preserve">Indica si todavía se puede ganar.</t>
  </si>
  <si>
    <t xml:space="preserve">criterios_desbloqueo</t>
  </si>
  <si>
    <t xml:space="preserve">id_criterio_desbloqueo</t>
  </si>
  <si>
    <t xml:space="preserve">Número único de cada regla.</t>
  </si>
  <si>
    <t xml:space="preserve">FK -&gt; insignias.id_insignia, NOT NULL</t>
  </si>
  <si>
    <t xml:space="preserve">Insignia que esa regla desbloquea.</t>
  </si>
  <si>
    <t xml:space="preserve">tipo_regla</t>
  </si>
  <si>
    <t xml:space="preserve">VARCHAR(50)</t>
  </si>
  <si>
    <t xml:space="preserve">Qué se mide: proyectos terminados, artículos, puntos acumulados, etc.</t>
  </si>
  <si>
    <t xml:space="preserve">operador</t>
  </si>
  <si>
    <t xml:space="preserve">VARCHAR(10)</t>
  </si>
  <si>
    <t xml:space="preserve">Cómo se compara: mayor o igual, igual, etc.</t>
  </si>
  <si>
    <t xml:space="preserve">valor_objetivo</t>
  </si>
  <si>
    <t xml:space="preserve">DECIMAL(10,2)</t>
  </si>
  <si>
    <t xml:space="preserve">Cantidad que hay que alcanzar (por ejemplo, 3 artículos).</t>
  </si>
  <si>
    <t xml:space="preserve">configuracion_json</t>
  </si>
  <si>
    <t xml:space="preserve">JSON</t>
  </si>
  <si>
    <t xml:space="preserve">Ajustes extra para reglas especiales, sin crear más columnas.</t>
  </si>
  <si>
    <t xml:space="preserve">Indica si la regla está en uso.</t>
  </si>
  <si>
    <t xml:space="preserve">usuario_insignia</t>
  </si>
  <si>
    <t xml:space="preserve">id_usuario_insignia</t>
  </si>
  <si>
    <t xml:space="preserve">Número único de cada insignia ganada.</t>
  </si>
  <si>
    <t xml:space="preserve">Persona que la obtuvo.</t>
  </si>
  <si>
    <t xml:space="preserve">Insignia obtenida.</t>
  </si>
  <si>
    <t xml:space="preserve">otorgada_en</t>
  </si>
  <si>
    <t xml:space="preserve">Fecha en que la ganó.</t>
  </si>
  <si>
    <t xml:space="preserve">origen</t>
  </si>
  <si>
    <t xml:space="preserve">Cómo se obtuvo: automática por regla o entrega manual.</t>
  </si>
  <si>
    <t xml:space="preserve">otorgada_por</t>
  </si>
  <si>
    <t xml:space="preserve">Administrador que la entregó, si fue manual.</t>
  </si>
  <si>
    <t xml:space="preserve">Fecha en que se retiró, si hubo un error o fraude.</t>
  </si>
  <si>
    <t xml:space="preserve">movimientos_puntos</t>
  </si>
  <si>
    <t xml:space="preserve">id_movimiento</t>
  </si>
  <si>
    <t xml:space="preserve">Número único de cada movimiento de puntos.</t>
  </si>
  <si>
    <t xml:space="preserve">Persona que gana o pierde puntos.</t>
  </si>
  <si>
    <t xml:space="preserve">puntos</t>
  </si>
  <si>
    <t xml:space="preserve">Cantidad de puntos (positiva suma, negativa resta).</t>
  </si>
  <si>
    <t xml:space="preserve">Razón (por ejemplo, Postulación enviada).</t>
  </si>
  <si>
    <t xml:space="preserve">referencia_tipo</t>
  </si>
  <si>
    <t xml:space="preserve">Tipo de registro que originó el movimiento (proyecto, artículo, etc.).</t>
  </si>
  <si>
    <t xml:space="preserve">referencia_id</t>
  </si>
  <si>
    <t xml:space="preserve">Número del registro que lo originó.</t>
  </si>
  <si>
    <t xml:space="preserve">Quién lo registró. Queda vacío si fue automático.</t>
  </si>
  <si>
    <t xml:space="preserve">Fecha del movimiento.</t>
  </si>
  <si>
    <t xml:space="preserve">ranking_periodos</t>
  </si>
  <si>
    <t xml:space="preserve">id_ranking_periodo</t>
  </si>
  <si>
    <t xml:space="preserve">Número único de cada periodo de ranking.</t>
  </si>
  <si>
    <t xml:space="preserve">Nombre del periodo (por ejemplo, 2026-1 o Octubre 2026).</t>
  </si>
  <si>
    <t xml:space="preserve">Inicio del periodo.</t>
  </si>
  <si>
    <t xml:space="preserve">Fin del periodo.</t>
  </si>
  <si>
    <t xml:space="preserve">calculado_en</t>
  </si>
  <si>
    <t xml:space="preserve">Cuándo se calculó el ranking.</t>
  </si>
  <si>
    <t xml:space="preserve">NOT NULL, DEFAULT 'abierto'</t>
  </si>
  <si>
    <t xml:space="preserve">Estado: abierto, calculado o cerrado.</t>
  </si>
  <si>
    <t xml:space="preserve">ranking_resultados</t>
  </si>
  <si>
    <t xml:space="preserve">PK, FK -&gt; ranking_periodos.id_ranking_periodo</t>
  </si>
  <si>
    <t xml:space="preserve">Periodo al que pertenece el resultado.</t>
  </si>
  <si>
    <t xml:space="preserve">Persona clasificada.</t>
  </si>
  <si>
    <t xml:space="preserve">puntos_periodo</t>
  </si>
  <si>
    <t xml:space="preserve">Puntos que sumó en ese periodo.</t>
  </si>
  <si>
    <t xml:space="preserve">posicion</t>
  </si>
  <si>
    <t xml:space="preserve">Puesto que ocupó (1.º, 2.º, 3.º...).</t>
  </si>
  <si>
    <t xml:space="preserve">Cuándo se calculó esa posición.</t>
  </si>
  <si>
    <t xml:space="preserve">productos_investigacion</t>
  </si>
  <si>
    <t xml:space="preserve">id_producto</t>
  </si>
  <si>
    <t xml:space="preserve">Número único de cada producto científico.</t>
  </si>
  <si>
    <t xml:space="preserve">Proyecto del que sale el producto.</t>
  </si>
  <si>
    <t xml:space="preserve">registrado_por</t>
  </si>
  <si>
    <t xml:space="preserve">Persona que lo registró en la plataforma.</t>
  </si>
  <si>
    <t xml:space="preserve">tipo_producto</t>
  </si>
  <si>
    <t xml:space="preserve">Tipo: artículo o ponencia. Decide qué tabla de detalle se llena.</t>
  </si>
  <si>
    <t xml:space="preserve">Título del producto.</t>
  </si>
  <si>
    <t xml:space="preserve">Resumen breve del contenido.</t>
  </si>
  <si>
    <t xml:space="preserve">Fecha en que se publicó o presentó.</t>
  </si>
  <si>
    <t xml:space="preserve">doi</t>
  </si>
  <si>
    <t xml:space="preserve">Identificador internacional del documento. No se repite.</t>
  </si>
  <si>
    <t xml:space="preserve">url_externa</t>
  </si>
  <si>
    <t xml:space="preserve">Enlace donde se puede consultar el producto.</t>
  </si>
  <si>
    <t xml:space="preserve">estado_validacion</t>
  </si>
  <si>
    <t xml:space="preserve">Estado: pendiente, validado o rechazado por la administración.</t>
  </si>
  <si>
    <t xml:space="preserve">articulos</t>
  </si>
  <si>
    <t xml:space="preserve">PK, FK -&gt; productos_investigacion.id_producto</t>
  </si>
  <si>
    <t xml:space="preserve">Producto que es un artículo (1 a 1 con su producto).</t>
  </si>
  <si>
    <t xml:space="preserve">nombre_revista</t>
  </si>
  <si>
    <t xml:space="preserve">Revista donde se publicó.</t>
  </si>
  <si>
    <t xml:space="preserve">issn</t>
  </si>
  <si>
    <t xml:space="preserve">Código internacional de la revista.</t>
  </si>
  <si>
    <t xml:space="preserve">volumen</t>
  </si>
  <si>
    <t xml:space="preserve">Volumen de la revista.</t>
  </si>
  <si>
    <t xml:space="preserve">numero</t>
  </si>
  <si>
    <t xml:space="preserve">Número de la edición.</t>
  </si>
  <si>
    <t xml:space="preserve">paginas</t>
  </si>
  <si>
    <t xml:space="preserve">Páginas donde aparece el artículo.</t>
  </si>
  <si>
    <t xml:space="preserve">indexacion</t>
  </si>
  <si>
    <t xml:space="preserve">Base de datos científica que indexa la revista.</t>
  </si>
  <si>
    <t xml:space="preserve">ponencias</t>
  </si>
  <si>
    <t xml:space="preserve">Producto que es una ponencia (1 a 1 con su producto).</t>
  </si>
  <si>
    <t xml:space="preserve">id_evento</t>
  </si>
  <si>
    <t xml:space="preserve">FK -&gt; eventos.id_evento, NOT NULL</t>
  </si>
  <si>
    <t xml:space="preserve">Evento donde se presentó.</t>
  </si>
  <si>
    <t xml:space="preserve">modalidad</t>
  </si>
  <si>
    <t xml:space="preserve">Forma de presentación: oral, póster, virtual.</t>
  </si>
  <si>
    <t xml:space="preserve">idioma</t>
  </si>
  <si>
    <t xml:space="preserve">Idioma de la presentación.</t>
  </si>
  <si>
    <t xml:space="preserve">fecha_presentacion</t>
  </si>
  <si>
    <t xml:space="preserve">Día en que se presentó.</t>
  </si>
  <si>
    <t xml:space="preserve">eventos</t>
  </si>
  <si>
    <t xml:space="preserve">Número único de cada evento.</t>
  </si>
  <si>
    <t xml:space="preserve">Nombre del congreso, simposio o encuentro.</t>
  </si>
  <si>
    <t xml:space="preserve">Tipo: congreso, simposio, taller, etc.</t>
  </si>
  <si>
    <t xml:space="preserve">organizador</t>
  </si>
  <si>
    <t xml:space="preserve">Entidad que organiza el evento.</t>
  </si>
  <si>
    <t xml:space="preserve">lugar</t>
  </si>
  <si>
    <t xml:space="preserve">Ciudad o plataforma donde ocurre.</t>
  </si>
  <si>
    <t xml:space="preserve">Primer día del evento.</t>
  </si>
  <si>
    <t xml:space="preserve">Último día del evento.</t>
  </si>
  <si>
    <t xml:space="preserve">url</t>
  </si>
  <si>
    <t xml:space="preserve">Página oficial del evento.</t>
  </si>
  <si>
    <t xml:space="preserve">asistencias_evento</t>
  </si>
  <si>
    <t xml:space="preserve">id_asistencia</t>
  </si>
  <si>
    <t xml:space="preserve">Número único de cada registro de asistencia.</t>
  </si>
  <si>
    <t xml:space="preserve">Evento al que asistió.</t>
  </si>
  <si>
    <t xml:space="preserve">Persona que asistió.</t>
  </si>
  <si>
    <t xml:space="preserve">estado_asistencia</t>
  </si>
  <si>
    <t xml:space="preserve">NOT NULL, DEFAULT 'registrada'</t>
  </si>
  <si>
    <t xml:space="preserve">Estado: registrada, verificada o no asistió.</t>
  </si>
  <si>
    <t xml:space="preserve">registrada_en</t>
  </si>
  <si>
    <t xml:space="preserve">Cuándo declaró su asistencia.</t>
  </si>
  <si>
    <t xml:space="preserve">verificada_en</t>
  </si>
  <si>
    <t xml:space="preserve">Cuándo la administración la confirmó.</t>
  </si>
  <si>
    <t xml:space="preserve">producto_autor</t>
  </si>
  <si>
    <t xml:space="preserve">Producto del que es autor.</t>
  </si>
  <si>
    <t xml:space="preserve">Autor del producto.</t>
  </si>
  <si>
    <t xml:space="preserve">orden_autoria</t>
  </si>
  <si>
    <t xml:space="preserve">Posición del autor (primer autor, segundo autor...).</t>
  </si>
  <si>
    <t xml:space="preserve">autor_correspondencia</t>
  </si>
  <si>
    <t xml:space="preserve">Marca quién responde las consultas sobre el producto.</t>
  </si>
  <si>
    <t xml:space="preserve">notificaciones</t>
  </si>
  <si>
    <t xml:space="preserve">id_notificacion</t>
  </si>
  <si>
    <t xml:space="preserve">Número único de cada aviso.</t>
  </si>
  <si>
    <t xml:space="preserve">id_usuario_emisor</t>
  </si>
  <si>
    <t xml:space="preserve">Quién lo envía. Vacío si lo genera el sistema.</t>
  </si>
  <si>
    <t xml:space="preserve">Tipo: convocatoria nueva, resultado, recordatorio, etc.</t>
  </si>
  <si>
    <t xml:space="preserve">Título corto que se muestra en la campana.</t>
  </si>
  <si>
    <t xml:space="preserve">mensaje</t>
  </si>
  <si>
    <t xml:space="preserve">Contenido completo del aviso.</t>
  </si>
  <si>
    <t xml:space="preserve">canal</t>
  </si>
  <si>
    <t xml:space="preserve">Por dónde se envía: plataforma, correo o ambos.</t>
  </si>
  <si>
    <t xml:space="preserve">Tipo de registro al que se refiere (convocatoria, postulación...).</t>
  </si>
  <si>
    <t xml:space="preserve">Número del registro al que se refiere, para abrirlo desde el aviso.</t>
  </si>
  <si>
    <t xml:space="preserve">creada_en</t>
  </si>
  <si>
    <t xml:space="preserve">Momento en que se creó el aviso.</t>
  </si>
  <si>
    <t xml:space="preserve">notificacion_destinatario</t>
  </si>
  <si>
    <t xml:space="preserve">PK, FK -&gt; notificaciones.id_notificacion</t>
  </si>
  <si>
    <t xml:space="preserve">Aviso que se entrega.</t>
  </si>
  <si>
    <t xml:space="preserve">Persona que lo recibe.</t>
  </si>
  <si>
    <t xml:space="preserve">entregada_en</t>
  </si>
  <si>
    <t xml:space="preserve">Momento en que llegó.</t>
  </si>
  <si>
    <t xml:space="preserve">leida_en</t>
  </si>
  <si>
    <t xml:space="preserve">Momento en que la persona lo leyó. Vacío si no ha leído.</t>
  </si>
  <si>
    <t xml:space="preserve">estado_entrega</t>
  </si>
  <si>
    <t xml:space="preserve">Estado: pendiente, entregada, leída o fallida.</t>
  </si>
  <si>
    <t xml:space="preserve">auditoria_eventos</t>
  </si>
  <si>
    <t xml:space="preserve">id_auditoria</t>
  </si>
  <si>
    <t xml:space="preserve">Número único de cada registro de auditoría.</t>
  </si>
  <si>
    <t xml:space="preserve">Quién hizo la acción. Vacío si fue el sistema.</t>
  </si>
  <si>
    <t xml:space="preserve">Qué hizo: crear, modificar, eliminar, etc.</t>
  </si>
  <si>
    <t xml:space="preserve">entidad</t>
  </si>
  <si>
    <t xml:space="preserve">Tabla o elemento afectado.</t>
  </si>
  <si>
    <t xml:space="preserve">id_registro</t>
  </si>
  <si>
    <t xml:space="preserve">Número del registro afectado.</t>
  </si>
  <si>
    <t xml:space="preserve">valor_anterior</t>
  </si>
  <si>
    <t xml:space="preserve">Cómo estaba el dato antes del cambio.</t>
  </si>
  <si>
    <t xml:space="preserve">valor_nuevo</t>
  </si>
  <si>
    <t xml:space="preserve">Cómo quedó después del cambio.</t>
  </si>
  <si>
    <t xml:space="preserve">Dirección IP desde donde se hizo.</t>
  </si>
  <si>
    <t xml:space="preserve">ocurrido_en</t>
  </si>
  <si>
    <t xml:space="preserve">Fecha y hora exacta de la acción.</t>
  </si>
  <si>
    <t xml:space="preserve">archivos</t>
  </si>
  <si>
    <t xml:space="preserve">id_archivo</t>
  </si>
  <si>
    <t xml:space="preserve">Número único de cada archivo guardado.</t>
  </si>
  <si>
    <t xml:space="preserve">id_usuario_cargador</t>
  </si>
  <si>
    <t xml:space="preserve">nombre_original</t>
  </si>
  <si>
    <t xml:space="preserve">Nombre con el que el usuario lo subió.</t>
  </si>
  <si>
    <t xml:space="preserve">clave_almacenamiento</t>
  </si>
  <si>
    <t xml:space="preserve">Ruta interna única donde está guardado.</t>
  </si>
  <si>
    <t xml:space="preserve">Tipo de archivo (PDF, imagen, etc.).</t>
  </si>
  <si>
    <t xml:space="preserve">Peso del archivo.</t>
  </si>
  <si>
    <t xml:space="preserve">hash_sha256</t>
  </si>
  <si>
    <t xml:space="preserve">CHAR(64)</t>
  </si>
  <si>
    <t xml:space="preserve">Huella digital del archivo. Detecta duplicados o alteraciones.</t>
  </si>
  <si>
    <t xml:space="preserve">Fecha de la carga.</t>
  </si>
  <si>
    <t xml:space="preserve">Estado: activo, en revisión o eliminado.</t>
  </si>
  <si>
    <t xml:space="preserve">comentarios_revision</t>
  </si>
  <si>
    <t xml:space="preserve">id_comentario</t>
  </si>
  <si>
    <t xml:space="preserve">Número único de cada comentario.</t>
  </si>
  <si>
    <t xml:space="preserve">id_usuario_autor</t>
  </si>
  <si>
    <t xml:space="preserve">Persona que escribió el comentario.</t>
  </si>
  <si>
    <t xml:space="preserve">entidad_tipo</t>
  </si>
  <si>
    <t xml:space="preserve">Tipo de elemento comentado (proyecto, postulación, producto).</t>
  </si>
  <si>
    <t xml:space="preserve">entidad_id</t>
  </si>
  <si>
    <t xml:space="preserve">Número del elemento comentado.</t>
  </si>
  <si>
    <t xml:space="preserve">contenido</t>
  </si>
  <si>
    <t xml:space="preserve">Texto del comentario o corrección.</t>
  </si>
  <si>
    <t xml:space="preserve">visibilidad</t>
  </si>
  <si>
    <t xml:space="preserve">NOT NULL, DEFAULT 'interna'</t>
  </si>
  <si>
    <t xml:space="preserve">Quién lo ve: solo administración o también el autor del trabajo.</t>
  </si>
  <si>
    <t xml:space="preserve">Fecha del comentario.</t>
  </si>
  <si>
    <t xml:space="preserve">configuracion_sistema</t>
  </si>
  <si>
    <t xml:space="preserve">id_configuracion</t>
  </si>
  <si>
    <t xml:space="preserve">Número único de cada parámetro.</t>
  </si>
  <si>
    <t xml:space="preserve">clave</t>
  </si>
  <si>
    <t xml:space="preserve">Nombre del parámetro (por ejemplo, max_tamano_pdf_mb).</t>
  </si>
  <si>
    <t xml:space="preserve">valor_json</t>
  </si>
  <si>
    <t xml:space="preserve">Valor actual del parámetro.</t>
  </si>
  <si>
    <t xml:space="preserve">Para qué sirve el parámetro.</t>
  </si>
  <si>
    <t xml:space="preserve">actualizado_por</t>
  </si>
  <si>
    <t xml:space="preserve">Administrador que lo cambió por última vez.</t>
  </si>
  <si>
    <t xml:space="preserve">Fecha del último cambio.</t>
  </si>
  <si>
    <t xml:space="preserve">Flujo</t>
  </si>
  <si>
    <t xml:space="preserve">Pantalla / Vista en Figma</t>
  </si>
  <si>
    <t xml:space="preserve">Control / Input Visual</t>
  </si>
  <si>
    <t xml:space="preserve">Tabla Destino</t>
  </si>
  <si>
    <t xml:space="preserve">Columna Asociada</t>
  </si>
  <si>
    <t xml:space="preserve">Operación CRUD</t>
  </si>
  <si>
    <t xml:space="preserve">Justificación de negocio</t>
  </si>
  <si>
    <t xml:space="preserve">1. Inicio de sesión y Perfil institucional</t>
  </si>
  <si>
    <t xml:space="preserve">Inicio de sesión</t>
  </si>
  <si>
    <t xml:space="preserve">Campo "Correo institucional"</t>
  </si>
  <si>
    <t xml:space="preserve">R</t>
  </si>
  <si>
    <t xml:space="preserve">Identifica a la persona que quiere entrar. Solo existen correos de la universidad.</t>
  </si>
  <si>
    <t xml:space="preserve">Campo "Contraseña"</t>
  </si>
  <si>
    <t xml:space="preserve">Se compara con la contraseña cifrada. Nunca se guarda en texto plano.</t>
  </si>
  <si>
    <t xml:space="preserve">Botón "Continuar con cuenta institucional"</t>
  </si>
  <si>
    <t xml:space="preserve">proveedor, identificador_externo</t>
  </si>
  <si>
    <t xml:space="preserve">Permite ingresar con la cuenta de la universidad sin crear otra clave.</t>
  </si>
  <si>
    <t xml:space="preserve">Botón "Ingresar" (al iniciar sesión correctamente)</t>
  </si>
  <si>
    <t xml:space="preserve">token_hash, iniciada_en, expira_en, ip_origen</t>
  </si>
  <si>
    <t xml:space="preserve">Abre una sesión segura con vencimiento y deja rastro del acceso.</t>
  </si>
  <si>
    <t xml:space="preserve">Botón "Ingresar" (al validar la clave)</t>
  </si>
  <si>
    <t xml:space="preserve">U</t>
  </si>
  <si>
    <t xml:space="preserve">Registra el último ingreso exitoso.</t>
  </si>
  <si>
    <t xml:space="preserve">Cambio de contraseña</t>
  </si>
  <si>
    <t xml:space="preserve">Campos "Nueva contraseña" y "Confirmar"</t>
  </si>
  <si>
    <t xml:space="preserve">hash_contrasena, requiere_cambio_clave</t>
  </si>
  <si>
    <t xml:space="preserve">Permite renovar la clave y apagar la obligación de cambiarla.</t>
  </si>
  <si>
    <t xml:space="preserve">Menú lateral</t>
  </si>
  <si>
    <t xml:space="preserve">Opciones visibles según el tipo de usuario</t>
  </si>
  <si>
    <t xml:space="preserve">usuario_rol, rol_permiso, permisos</t>
  </si>
  <si>
    <t xml:space="preserve">id_rol, codigo</t>
  </si>
  <si>
    <t xml:space="preserve">Cada persona solo ve las opciones que su rol permite.</t>
  </si>
  <si>
    <t xml:space="preserve">Menú superior</t>
  </si>
  <si>
    <t xml:space="preserve">Botón "Cerrar sesión"</t>
  </si>
  <si>
    <t xml:space="preserve">Termina la sesión y evita que se reutilice.</t>
  </si>
  <si>
    <t xml:space="preserve">Perfil institucional</t>
  </si>
  <si>
    <t xml:space="preserve">Texto "Nombres" y "Apellidos"</t>
  </si>
  <si>
    <t xml:space="preserve">nombres, apellidos</t>
  </si>
  <si>
    <t xml:space="preserve">R / U</t>
  </si>
  <si>
    <t xml:space="preserve">Datos básicos del perfil que la persona puede corregir.</t>
  </si>
  <si>
    <t xml:space="preserve">Texto "Código institucional" (solo lectura)</t>
  </si>
  <si>
    <t xml:space="preserve">Identificador oficial; no se edita porque lo asigna la universidad.</t>
  </si>
  <si>
    <t xml:space="preserve">Campo "Teléfono"</t>
  </si>
  <si>
    <t xml:space="preserve">Dato de contacto opcional.</t>
  </si>
  <si>
    <t xml:space="preserve">Etiquetas "Sede", "Facultad", "Programa"</t>
  </si>
  <si>
    <t xml:space="preserve">sedes, facultades, programas</t>
  </si>
  <si>
    <t xml:space="preserve">Muestra la ubicación académica de la persona.</t>
  </si>
  <si>
    <t xml:space="preserve">Etiqueta "Rol"</t>
  </si>
  <si>
    <t xml:space="preserve">Informa con qué rol actúa la persona.</t>
  </si>
  <si>
    <t xml:space="preserve">Administración de usuarios</t>
  </si>
  <si>
    <t xml:space="preserve">Botón "Asignar rol"</t>
  </si>
  <si>
    <t xml:space="preserve">id_usuario, id_rol, asignado_por, vigente_hasta</t>
  </si>
  <si>
    <t xml:space="preserve">Solo un administrador puede otorgar un rol, y queda registrado quién lo hizo.</t>
  </si>
  <si>
    <t xml:space="preserve">2. Gestión de Semilleros</t>
  </si>
  <si>
    <t xml:space="preserve">Registro de semillero</t>
  </si>
  <si>
    <t xml:space="preserve">Campo "Nombre del semillero"</t>
  </si>
  <si>
    <t xml:space="preserve">Nombre con el que se identifica el grupo.</t>
  </si>
  <si>
    <t xml:space="preserve">Campo "Código"</t>
  </si>
  <si>
    <t xml:space="preserve">Evita semilleros duplicados.</t>
  </si>
  <si>
    <t xml:space="preserve">Selector "Programa académico"</t>
  </si>
  <si>
    <t xml:space="preserve">Liga el semillero a un programa de la universidad.</t>
  </si>
  <si>
    <t xml:space="preserve">Selector "Sede"</t>
  </si>
  <si>
    <t xml:space="preserve">Define en qué sede funciona.</t>
  </si>
  <si>
    <t xml:space="preserve">Selector "Docente coordinador"</t>
  </si>
  <si>
    <t xml:space="preserve">Asigna a la persona responsable del grupo.</t>
  </si>
  <si>
    <t xml:space="preserve">Área de texto "Objetivo"</t>
  </si>
  <si>
    <t xml:space="preserve">C / U</t>
  </si>
  <si>
    <t xml:space="preserve">Explica para qué existe el semillero.</t>
  </si>
  <si>
    <t xml:space="preserve">Calendario "Fecha de creación"</t>
  </si>
  <si>
    <t xml:space="preserve">Fecha oficial de fundación.</t>
  </si>
  <si>
    <t xml:space="preserve">Selector "Estado"</t>
  </si>
  <si>
    <t xml:space="preserve">Permite activar o desactivar el semillero sin borrarlo.</t>
  </si>
  <si>
    <t xml:space="preserve">Líneas temáticas del semillero</t>
  </si>
  <si>
    <t xml:space="preserve">Casillas de selección múltiple "Líneas de investigación"</t>
  </si>
  <si>
    <t xml:space="preserve">id_semillero, id_linea</t>
  </si>
  <si>
    <t xml:space="preserve">C / D</t>
  </si>
  <si>
    <t xml:space="preserve">Un semillero puede trabajar varias líneas.</t>
  </si>
  <si>
    <t xml:space="preserve">Casilla "Línea principal"</t>
  </si>
  <si>
    <t xml:space="preserve">Marca el tema central del semillero.</t>
  </si>
  <si>
    <t xml:space="preserve">Vinculación de estudiantes</t>
  </si>
  <si>
    <t xml:space="preserve">Buscador "Buscar estudiante"</t>
  </si>
  <si>
    <t xml:space="preserve">nombres, apellidos, codigo_institucional</t>
  </si>
  <si>
    <t xml:space="preserve">Permite encontrar a quién se quiere vincular.</t>
  </si>
  <si>
    <t xml:space="preserve">Botón "Vincular al semillero"</t>
  </si>
  <si>
    <t xml:space="preserve">id_semillero, id_usuario, fecha_ingreso</t>
  </si>
  <si>
    <t xml:space="preserve">Crea la membresía del estudiante.</t>
  </si>
  <si>
    <t xml:space="preserve">Selector "Rol en el semillero"</t>
  </si>
  <si>
    <t xml:space="preserve">Indica si es integrante, líder estudiantil, etc.</t>
  </si>
  <si>
    <t xml:space="preserve">Botón "Retirar del semillero"</t>
  </si>
  <si>
    <t xml:space="preserve">fecha_retiro, estado</t>
  </si>
  <si>
    <t xml:space="preserve">Retira a la persona sin borrar su historia.</t>
  </si>
  <si>
    <t xml:space="preserve">Campo "Observaciones"</t>
  </si>
  <si>
    <t xml:space="preserve">Notas sobre la vinculación.</t>
  </si>
  <si>
    <t xml:space="preserve">Historial del semillero</t>
  </si>
  <si>
    <t xml:space="preserve">Pestaña "Historial de miembros"</t>
  </si>
  <si>
    <t xml:space="preserve">accion, fecha_evento, detalle, id_usuario_actor</t>
  </si>
  <si>
    <t xml:space="preserve">Muestra quién entró, salió o cambió de rol, y quién lo autorizó.</t>
  </si>
  <si>
    <t xml:space="preserve">Proyectos del semillero</t>
  </si>
  <si>
    <t xml:space="preserve">Formulario "Nuevo proyecto": título, resumen, objetivo</t>
  </si>
  <si>
    <t xml:space="preserve">titulo, resumen, objetivo_general</t>
  </si>
  <si>
    <t xml:space="preserve">Registra el proyecto que desarrolla el semillero.</t>
  </si>
  <si>
    <t xml:space="preserve">Selectores "Línea" y "Líder del proyecto"</t>
  </si>
  <si>
    <t xml:space="preserve">id_linea, id_lider</t>
  </si>
  <si>
    <t xml:space="preserve">Ubica el proyecto en un tema y define su responsable.</t>
  </si>
  <si>
    <t xml:space="preserve">Calendarios "Fecha de inicio" y "Fecha de fin"</t>
  </si>
  <si>
    <t xml:space="preserve">fecha_inicio, fecha_fin</t>
  </si>
  <si>
    <t xml:space="preserve">Define la duración del proyecto.</t>
  </si>
  <si>
    <t xml:space="preserve">Campo "Presupuesto estimado"</t>
  </si>
  <si>
    <t xml:space="preserve">Calcula cuánto dinero necesita el proyecto.</t>
  </si>
  <si>
    <t xml:space="preserve">Selector "Estado del proyecto"</t>
  </si>
  <si>
    <t xml:space="preserve">Muestra si está en formulación, ejecución o finalizado.</t>
  </si>
  <si>
    <t xml:space="preserve">Equipo del proyecto</t>
  </si>
  <si>
    <t xml:space="preserve">Lista "Integrantes" con su rol</t>
  </si>
  <si>
    <t xml:space="preserve">id_usuario, rol_proyecto, fecha_vinculacion</t>
  </si>
  <si>
    <t xml:space="preserve">C / R</t>
  </si>
  <si>
    <t xml:space="preserve">Define quiénes trabajan en el proyecto y con qué papel.</t>
  </si>
  <si>
    <t xml:space="preserve">3. Publicación de Convocatorias y Cronograma</t>
  </si>
  <si>
    <t xml:space="preserve">Crear convocatoria</t>
  </si>
  <si>
    <t xml:space="preserve">Campos "Título" y "Código"</t>
  </si>
  <si>
    <t xml:space="preserve">titulo, codigo</t>
  </si>
  <si>
    <t xml:space="preserve">Identifican de forma única la convocatoria.</t>
  </si>
  <si>
    <t xml:space="preserve">Área de texto "Descripción"</t>
  </si>
  <si>
    <t xml:space="preserve">Explica a quién va dirigida y qué financia.</t>
  </si>
  <si>
    <t xml:space="preserve">Indica qué sede la abre.</t>
  </si>
  <si>
    <t xml:space="preserve">Campo "Presupuesto total"</t>
  </si>
  <si>
    <t xml:space="preserve">Dinero disponible para repartir.</t>
  </si>
  <si>
    <t xml:space="preserve">Calendarios "Apertura" y "Cierre"</t>
  </si>
  <si>
    <t xml:space="preserve">fecha_apertura, fecha_cierre</t>
  </si>
  <si>
    <t xml:space="preserve">Define el periodo para postularse.</t>
  </si>
  <si>
    <t xml:space="preserve">Selector "Responsable"</t>
  </si>
  <si>
    <t xml:space="preserve">Deja claro quién responde por la convocatoria.</t>
  </si>
  <si>
    <t xml:space="preserve">Botón "Publicar"</t>
  </si>
  <si>
    <t xml:space="preserve">estado, fecha_publicacion</t>
  </si>
  <si>
    <t xml:space="preserve">La convocatoria pasa de borrador a visible para los estudiantes.</t>
  </si>
  <si>
    <t xml:space="preserve">Cronograma</t>
  </si>
  <si>
    <t xml:space="preserve">Tabla de fases: nombre, orden, fechas</t>
  </si>
  <si>
    <t xml:space="preserve">nombre, orden, fecha_inicio, fecha_fin</t>
  </si>
  <si>
    <t xml:space="preserve">Muestra las etapas (inscripción, evaluación, resultados) con sus fechas.</t>
  </si>
  <si>
    <t xml:space="preserve">Indicador de estado de cada fase</t>
  </si>
  <si>
    <t xml:space="preserve">U / R</t>
  </si>
  <si>
    <t xml:space="preserve">Muestra si la etapa está pendiente, en curso o terminada.</t>
  </si>
  <si>
    <t xml:space="preserve">Requisitos de la convocatoria</t>
  </si>
  <si>
    <t xml:space="preserve">Lista de requisitos con casilla "Obligatorio"</t>
  </si>
  <si>
    <t xml:space="preserve">nombre, descripcion, tipo, obligatorio</t>
  </si>
  <si>
    <t xml:space="preserve">Define qué documentos o datos se piden.</t>
  </si>
  <si>
    <t xml:space="preserve">Botón "Agregar requisito a esta convocatoria"</t>
  </si>
  <si>
    <t xml:space="preserve">id_convocatoria, id_requisito, instrucciones, orden</t>
  </si>
  <si>
    <t xml:space="preserve">Conecta requisitos con la convocatoria y fija su orden.</t>
  </si>
  <si>
    <t xml:space="preserve">Selector "Jurados asignados"</t>
  </si>
  <si>
    <t xml:space="preserve">id_convocatoria, id_evaluador</t>
  </si>
  <si>
    <t xml:space="preserve">Asigna qué jurados evalúan esta convocatoria.</t>
  </si>
  <si>
    <t xml:space="preserve">Listado de convocatorias</t>
  </si>
  <si>
    <t xml:space="preserve">Tarjetas con título, fechas y estado</t>
  </si>
  <si>
    <t xml:space="preserve">titulo, fecha_apertura, fecha_cierre, estado</t>
  </si>
  <si>
    <t xml:space="preserve">El estudiante ve qué convocatorias están abiertas.</t>
  </si>
  <si>
    <t xml:space="preserve">Botón "Cerrar convocatoria"</t>
  </si>
  <si>
    <t xml:space="preserve">Impide nuevas postulaciones.</t>
  </si>
  <si>
    <t xml:space="preserve">4. Formulario de Postulación con adjuntos en PDF</t>
  </si>
  <si>
    <t xml:space="preserve">Formulario de postulación</t>
  </si>
  <si>
    <t xml:space="preserve">Etiqueta "Convocatoria" (precargada)</t>
  </si>
  <si>
    <t xml:space="preserve">Liga la postulación a la convocatoria elegida.</t>
  </si>
  <si>
    <t xml:space="preserve">Selector "Proyecto a presentar"</t>
  </si>
  <si>
    <t xml:space="preserve">Define con qué proyecto del semillero se postula.</t>
  </si>
  <si>
    <t xml:space="preserve">Campo "Título de la propuesta"</t>
  </si>
  <si>
    <t xml:space="preserve">Nombre con el que se presenta la propuesta.</t>
  </si>
  <si>
    <t xml:space="preserve">Área de texto "Justificación"</t>
  </si>
  <si>
    <t xml:space="preserve">Argumento de por qué merece ser seleccionada.</t>
  </si>
  <si>
    <t xml:space="preserve">Datos del usuario en sesión (automático)</t>
  </si>
  <si>
    <t xml:space="preserve">Registra quién postula sin que tenga que escribirlo.</t>
  </si>
  <si>
    <t xml:space="preserve">Botón "Guardar borrador"</t>
  </si>
  <si>
    <t xml:space="preserve">estado = borrador</t>
  </si>
  <si>
    <t xml:space="preserve">Permite continuar después sin perder lo escrito.</t>
  </si>
  <si>
    <t xml:space="preserve">Botón "Enviar postulación"</t>
  </si>
  <si>
    <t xml:space="preserve">estado, fecha_envio</t>
  </si>
  <si>
    <t xml:space="preserve">Cierra la edición y fija el momento oficial de envío.</t>
  </si>
  <si>
    <t xml:space="preserve">Adjuntos</t>
  </si>
  <si>
    <t xml:space="preserve">Botón "Subir PDF" por cada requisito</t>
  </si>
  <si>
    <t xml:space="preserve">id_requisito, nombre_archivo, url_archivo</t>
  </si>
  <si>
    <t xml:space="preserve">Cada archivo queda ligado al requisito que cumple.</t>
  </si>
  <si>
    <t xml:space="preserve">Validación de formato y peso del archivo</t>
  </si>
  <si>
    <t xml:space="preserve">tipo_mime, tamano_bytes</t>
  </si>
  <si>
    <t xml:space="preserve">Garantiza que solo se reciban PDF y dentro del tamaño permitido.</t>
  </si>
  <si>
    <t xml:space="preserve">Texto "Cargado por / fecha"</t>
  </si>
  <si>
    <t xml:space="preserve">cargado_por, cargado_en</t>
  </si>
  <si>
    <t xml:space="preserve">Deja constancia de quién subió el archivo y cuándo.</t>
  </si>
  <si>
    <t xml:space="preserve">Botón "Eliminar archivo" (antes de enviar)</t>
  </si>
  <si>
    <t xml:space="preserve">registro completo</t>
  </si>
  <si>
    <t xml:space="preserve">Permite corregir un adjunto equivocado mientras no se haya enviado.</t>
  </si>
  <si>
    <t xml:space="preserve">Archivo físico subido</t>
  </si>
  <si>
    <t xml:space="preserve">nombre_original, clave_almacenamiento, hash_sha256</t>
  </si>
  <si>
    <t xml:space="preserve">Guarda el archivo de forma segura y detecta alteraciones.</t>
  </si>
  <si>
    <t xml:space="preserve">Seguimiento de postulación</t>
  </si>
  <si>
    <t xml:space="preserve">Línea de tiempo "Estado de mi postulación"</t>
  </si>
  <si>
    <t xml:space="preserve">estado_anterior, estado_nuevo, motivo, fecha_evento</t>
  </si>
  <si>
    <t xml:space="preserve">El estudiante ve cada paso y su motivo.</t>
  </si>
  <si>
    <t xml:space="preserve">Panel "Observaciones"</t>
  </si>
  <si>
    <t xml:space="preserve">Muestra los comentarios de la administración.</t>
  </si>
  <si>
    <t xml:space="preserve">Revisión administrativa</t>
  </si>
  <si>
    <t xml:space="preserve">Botones "Aprobar / Devolver / Rechazar"</t>
  </si>
  <si>
    <t xml:space="preserve">postulaciones, historial_postulacion</t>
  </si>
  <si>
    <t xml:space="preserve">estado; estado_nuevo, motivo</t>
  </si>
  <si>
    <t xml:space="preserve">U / C</t>
  </si>
  <si>
    <t xml:space="preserve">Cada decisión cambia el estado y deja trazabilidad.</t>
  </si>
  <si>
    <t xml:space="preserve">5. Calificación de Jurados mediante Rúbricas y Criterios</t>
  </si>
  <si>
    <t xml:space="preserve">Panel del jurado</t>
  </si>
  <si>
    <t xml:space="preserve">Lista "Postulaciones asignadas"</t>
  </si>
  <si>
    <t xml:space="preserve">convocatoria_evaluador, evaluaciones</t>
  </si>
  <si>
    <t xml:space="preserve">id_evaluador, id_postulacion</t>
  </si>
  <si>
    <t xml:space="preserve">Cada jurado ve solo lo que le corresponde evaluar.</t>
  </si>
  <si>
    <t xml:space="preserve">Casilla "Declaro conflicto de interés"</t>
  </si>
  <si>
    <t xml:space="preserve">Garantiza imparcialidad.</t>
  </si>
  <si>
    <t xml:space="preserve">Botones "Aceptar / Rechazar asignación"</t>
  </si>
  <si>
    <t xml:space="preserve">El jurado confirma si puede evaluar.</t>
  </si>
  <si>
    <t xml:space="preserve">Formulario de calificación</t>
  </si>
  <si>
    <t xml:space="preserve">Encabezado "Rúbrica" con nombre y versión</t>
  </si>
  <si>
    <t xml:space="preserve">nombre, version, instrucciones</t>
  </si>
  <si>
    <t xml:space="preserve">Muestra con qué reglas se evalúa.</t>
  </si>
  <si>
    <t xml:space="preserve">Lista de criterios con su peso</t>
  </si>
  <si>
    <t xml:space="preserve">rubrica_criterio, criterios_evaluacion</t>
  </si>
  <si>
    <t xml:space="preserve">ponderacion, orden, nombre, puntaje_maximo</t>
  </si>
  <si>
    <t xml:space="preserve">Muestra qué se califica y cuánto vale cada criterio.</t>
  </si>
  <si>
    <t xml:space="preserve">Campo "Puntaje" por criterio</t>
  </si>
  <si>
    <t xml:space="preserve">id_criterio, puntaje</t>
  </si>
  <si>
    <t xml:space="preserve">Registra la nota dada en cada criterio.</t>
  </si>
  <si>
    <t xml:space="preserve">Campo "Comentario" por criterio</t>
  </si>
  <si>
    <t xml:space="preserve">Justifica cada nota.</t>
  </si>
  <si>
    <t xml:space="preserve">Área de texto "Comentario general"</t>
  </si>
  <si>
    <t xml:space="preserve">Opinión global del jurado.</t>
  </si>
  <si>
    <t xml:space="preserve">Botón "Guardar avance"</t>
  </si>
  <si>
    <t xml:space="preserve">estado = en_progreso</t>
  </si>
  <si>
    <t xml:space="preserve">Permite terminar la evaluación en otro momento.</t>
  </si>
  <si>
    <t xml:space="preserve">Botón "Enviar evaluación"</t>
  </si>
  <si>
    <t xml:space="preserve">Cierra la calificación y la vuelve definitiva.</t>
  </si>
  <si>
    <t xml:space="preserve">Resultados</t>
  </si>
  <si>
    <t xml:space="preserve">Indicador "Nota final"</t>
  </si>
  <si>
    <t xml:space="preserve">calificaciones, rubrica_criterio</t>
  </si>
  <si>
    <t xml:space="preserve">puntaje, ponderacion</t>
  </si>
  <si>
    <t xml:space="preserve">Se calcula como la suma de cada puntaje por su ponderación.</t>
  </si>
  <si>
    <t xml:space="preserve">Gestión de rúbricas (administrador)</t>
  </si>
  <si>
    <t xml:space="preserve">Formulario "Nuevo criterio"</t>
  </si>
  <si>
    <t xml:space="preserve">nombre, descripcion, puntaje_maximo, activo</t>
  </si>
  <si>
    <t xml:space="preserve">Permite crear criterios reutilizables.</t>
  </si>
  <si>
    <t xml:space="preserve">Botón "Crear rúbrica"</t>
  </si>
  <si>
    <t xml:space="preserve">id_convocatoria, nombre, version, activa</t>
  </si>
  <si>
    <t xml:space="preserve">Cada convocatoria define su forma de evaluar.</t>
  </si>
  <si>
    <t xml:space="preserve">6. Vitrina de Insignias, Historial de Puntos y Ranking</t>
  </si>
  <si>
    <t xml:space="preserve">Vitrina de insignias</t>
  </si>
  <si>
    <t xml:space="preserve">Tarjetas de insignias ganadas</t>
  </si>
  <si>
    <t xml:space="preserve">usuario_insignia, insignias</t>
  </si>
  <si>
    <t xml:space="preserve">otorgada_en, nombre, descripcion, icono_url</t>
  </si>
  <si>
    <t xml:space="preserve">Muestra los logros que obtuvo la persona.</t>
  </si>
  <si>
    <t xml:space="preserve">Insignias bloqueadas con la regla para obtenerlas</t>
  </si>
  <si>
    <t xml:space="preserve">tipo_regla, operador, valor_objetivo</t>
  </si>
  <si>
    <t xml:space="preserve">Le dice al usuario qué le falta para desbloquearlas.</t>
  </si>
  <si>
    <t xml:space="preserve">Etiqueta "Origen" (automática o manual)</t>
  </si>
  <si>
    <t xml:space="preserve">origen, otorgada_por</t>
  </si>
  <si>
    <t xml:space="preserve">Aclara cómo se obtuvo la insignia.</t>
  </si>
  <si>
    <t xml:space="preserve">Botón "Revocar insignia" (administrador)</t>
  </si>
  <si>
    <t xml:space="preserve">Permite retirar una insignia otorgada por error.</t>
  </si>
  <si>
    <t xml:space="preserve">Botón "Otorgar insignia manual" (administrador)</t>
  </si>
  <si>
    <t xml:space="preserve">id_usuario, id_insignia, origen, otorgada_por</t>
  </si>
  <si>
    <t xml:space="preserve">Reconoce logros especiales.</t>
  </si>
  <si>
    <t xml:space="preserve">Perfil de gamificación</t>
  </si>
  <si>
    <t xml:space="preserve">Barra de progreso y nombre del nivel</t>
  </si>
  <si>
    <t xml:space="preserve">nombre, puntos_minimos, orden</t>
  </si>
  <si>
    <t xml:space="preserve">Muestra el nivel actual y cuánto falta para el siguiente.</t>
  </si>
  <si>
    <t xml:space="preserve">Historial de puntos</t>
  </si>
  <si>
    <t xml:space="preserve">Total de puntos</t>
  </si>
  <si>
    <t xml:space="preserve">Se calcula sumando todos los movimientos de la persona.</t>
  </si>
  <si>
    <t xml:space="preserve">Tabla de movimientos: fecha, motivo, puntos</t>
  </si>
  <si>
    <t xml:space="preserve">creado_en, motivo, puntos</t>
  </si>
  <si>
    <t xml:space="preserve">Explica de dónde viene cada punto.</t>
  </si>
  <si>
    <t xml:space="preserve">Ajuste manual de puntos (administrador)</t>
  </si>
  <si>
    <t xml:space="preserve">id_usuario, puntos, motivo, id_usuario_actor</t>
  </si>
  <si>
    <t xml:space="preserve">Permite corregir con trazabilidad quién hizo el ajuste.</t>
  </si>
  <si>
    <t xml:space="preserve">Tabla de posiciones</t>
  </si>
  <si>
    <t xml:space="preserve">Selector "Periodo"</t>
  </si>
  <si>
    <t xml:space="preserve">nombre, fecha_inicio, fecha_fin, estado</t>
  </si>
  <si>
    <t xml:space="preserve">Permite ver el ranking de un periodo específico.</t>
  </si>
  <si>
    <t xml:space="preserve">Lista "Posición, nombre, puntos"</t>
  </si>
  <si>
    <t xml:space="preserve">posicion, puntos_periodo, id_usuario</t>
  </si>
  <si>
    <t xml:space="preserve">Muestra quién va primero y con cuántos puntos.</t>
  </si>
  <si>
    <t xml:space="preserve">Botón "Calcular ranking" (administrador)</t>
  </si>
  <si>
    <t xml:space="preserve">ranking_periodos, ranking_resultados</t>
  </si>
  <si>
    <t xml:space="preserve">calculado_en, estado; posicion, puntos_periodo</t>
  </si>
  <si>
    <t xml:space="preserve">Genera y congela el ranking al cierre del periodo.</t>
  </si>
  <si>
    <t xml:space="preserve">Administración de insignias</t>
  </si>
  <si>
    <t xml:space="preserve">Formulario "Nueva insignia"</t>
  </si>
  <si>
    <t xml:space="preserve">nombre, descripcion, icono_url, id_nivel, puntos_recompensa, activa</t>
  </si>
  <si>
    <t xml:space="preserve">Permite crear logros nuevos.</t>
  </si>
  <si>
    <t xml:space="preserve">Editor de reglas de desbloqueo</t>
  </si>
  <si>
    <t xml:space="preserve">tipo_regla, operador, valor_objetivo, activa</t>
  </si>
  <si>
    <t xml:space="preserve">Define cuándo se gana cada insignia.</t>
  </si>
  <si>
    <t xml:space="preserve">7. Registro de Artículos y Ponencias en Eventos</t>
  </si>
  <si>
    <t xml:space="preserve">Registrar producto</t>
  </si>
  <si>
    <t xml:space="preserve">Selector "Tipo de producto" (Artículo / Ponencia)</t>
  </si>
  <si>
    <t xml:space="preserve">Decide qué datos específicos se piden después.</t>
  </si>
  <si>
    <t xml:space="preserve">Selector "Proyecto asociado"</t>
  </si>
  <si>
    <t xml:space="preserve">Todo producto científico sale de un proyecto.</t>
  </si>
  <si>
    <t xml:space="preserve">Campos "Título" y "Resumen"</t>
  </si>
  <si>
    <t xml:space="preserve">titulo, resumen</t>
  </si>
  <si>
    <t xml:space="preserve">Describen el producto.</t>
  </si>
  <si>
    <t xml:space="preserve">Calendario "Fecha de publicación"</t>
  </si>
  <si>
    <t xml:space="preserve">Campos "DOI" y "Enlace"</t>
  </si>
  <si>
    <t xml:space="preserve">doi, url_externa</t>
  </si>
  <si>
    <t xml:space="preserve">Permiten verificar el producto y evitar duplicados.</t>
  </si>
  <si>
    <t xml:space="preserve">Deja constancia de quién lo registró.</t>
  </si>
  <si>
    <t xml:space="preserve">Botón "Enviar a validación"</t>
  </si>
  <si>
    <t xml:space="preserve">La administración debe confirmar el producto antes de contarlo.</t>
  </si>
  <si>
    <t xml:space="preserve">Lista de autores con orden y casilla "Autor de correspondencia"</t>
  </si>
  <si>
    <t xml:space="preserve">id_usuario, orden_autoria, autor_correspondencia</t>
  </si>
  <si>
    <t xml:space="preserve">Reconoce a cada autor y su posición.</t>
  </si>
  <si>
    <t xml:space="preserve">Formulario de artículo</t>
  </si>
  <si>
    <t xml:space="preserve">Campos "Revista", "ISSN", "Volumen", "Número", "Páginas"</t>
  </si>
  <si>
    <t xml:space="preserve">nombre_revista, issn, volumen, numero, paginas</t>
  </si>
  <si>
    <t xml:space="preserve">Datos para ubicar el artículo.</t>
  </si>
  <si>
    <t xml:space="preserve">Selector "Indexación"</t>
  </si>
  <si>
    <t xml:space="preserve">Indica en qué base científica aparece.</t>
  </si>
  <si>
    <t xml:space="preserve">Formulario de ponencia</t>
  </si>
  <si>
    <t xml:space="preserve">Selector "Evento"</t>
  </si>
  <si>
    <t xml:space="preserve">Liga la ponencia al evento donde se presentó.</t>
  </si>
  <si>
    <t xml:space="preserve">Selector "Modalidad", campo "Idioma" y calendario "Fecha de presentación"</t>
  </si>
  <si>
    <t xml:space="preserve">modalidad, idioma, fecha_presentacion</t>
  </si>
  <si>
    <t xml:space="preserve">Detalles de cómo se presentó.</t>
  </si>
  <si>
    <t xml:space="preserve">Registro de evento</t>
  </si>
  <si>
    <t xml:space="preserve">Formulario: nombre, tipo, organizador, lugar, fechas, enlace</t>
  </si>
  <si>
    <t xml:space="preserve">nombre, tipo, organizador, lugar, fecha_inicio, fecha_fin, url</t>
  </si>
  <si>
    <t xml:space="preserve">Crea el evento si aún no existe en el catálogo.</t>
  </si>
  <si>
    <t xml:space="preserve">Asistencia a eventos</t>
  </si>
  <si>
    <t xml:space="preserve">Botón "Registrar mi asistencia"</t>
  </si>
  <si>
    <t xml:space="preserve">id_evento, id_usuario, estado_asistencia, registrada_en</t>
  </si>
  <si>
    <t xml:space="preserve">Deja constancia de quién participó en cada evento.</t>
  </si>
  <si>
    <t xml:space="preserve">Botón "Verificar asistencia" (administrador)</t>
  </si>
  <si>
    <t xml:space="preserve">verificada_en, estado_asistencia</t>
  </si>
  <si>
    <t xml:space="preserve">La administración confirma que la asistencia fue real.</t>
  </si>
  <si>
    <t xml:space="preserve">Revisión de producto</t>
  </si>
  <si>
    <t xml:space="preserve">Panel "Comentarios de revisión"</t>
  </si>
  <si>
    <t xml:space="preserve">entidad_tipo, entidad_id, contenido, visibilidad</t>
  </si>
  <si>
    <t xml:space="preserve">Permite dar observaciones sobre un producto antes de validarlo.</t>
  </si>
  <si>
    <t xml:space="preserve">Notificaciones</t>
  </si>
  <si>
    <t xml:space="preserve">Campana de avisos con indicador de no leídos</t>
  </si>
  <si>
    <t xml:space="preserve">notificaciones, notificacion_destinatario</t>
  </si>
  <si>
    <t xml:space="preserve">titulo, mensaje; leida_en, estado_entrega</t>
  </si>
  <si>
    <t xml:space="preserve">Informa resultados y plazos; marca cada aviso como leído.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</si>
</sst>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7F6"/>
        <bgColor rgb="FFE7E6E6"/>
      </patternFill>
    </fill>
    <fill>
      <patternFill patternType="solid">
        <fgColor rgb="FFE7E6E6"/>
        <bgColor rgb="FFEDE7F6"/>
      </patternFill>
    </fill>
    <fill>
      <patternFill patternType="solid">
        <fgColor rgb="FFF2F2F2"/>
        <bgColor rgb="FFEDE7F6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medium">
        <color rgb="FF7F7F7F"/>
      </top>
      <bottom/>
      <diagonal/>
    </border>
    <border diagonalUp="false" diagonalDown="false">
      <left/>
      <right/>
      <top style="medium">
        <color rgb="FF7F7F7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E7E6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EDE7F6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48" hidden="false" customHeight="true" outlineLevel="0" collapsed="false">
      <c r="A5" s="4" t="s">
        <v>7</v>
      </c>
      <c r="B5" s="5" t="s">
        <v>8</v>
      </c>
      <c r="C5" s="6" t="n">
        <f aca="false">SUMPRODUCT(('Diccionario de Datos'!$A$2:$A$334=A5)/COUNTIFS('Diccionario de Datos'!$B$2:$B$334,'Diccionario de Datos'!$B$2:$B$334))</f>
        <v>10</v>
      </c>
      <c r="D5" s="6" t="n">
        <f aca="false">COUNTIF('Diccionario de Datos'!$A$2:$A$334,A5)</f>
        <v>64</v>
      </c>
      <c r="E5" s="5" t="s">
        <v>9</v>
      </c>
    </row>
    <row r="6" customFormat="false" ht="48" hidden="false" customHeight="true" outlineLevel="0" collapsed="false">
      <c r="A6" s="7" t="s">
        <v>10</v>
      </c>
      <c r="B6" s="5" t="s">
        <v>11</v>
      </c>
      <c r="C6" s="6" t="n">
        <f aca="false">SUMPRODUCT(('Diccionario de Datos'!$A$2:$A$334=A6)/COUNTIFS('Diccionario de Datos'!$B$2:$B$334,'Diccionario de Datos'!$B$2:$B$334))</f>
        <v>7</v>
      </c>
      <c r="D6" s="6" t="n">
        <f aca="false">COUNTIF('Diccionario de Datos'!$A$2:$A$334,A6)</f>
        <v>49</v>
      </c>
      <c r="E6" s="5" t="s">
        <v>12</v>
      </c>
    </row>
    <row r="7" customFormat="false" ht="48" hidden="false" customHeight="true" outlineLevel="0" collapsed="false">
      <c r="A7" s="8" t="s">
        <v>13</v>
      </c>
      <c r="B7" s="5" t="s">
        <v>14</v>
      </c>
      <c r="C7" s="6" t="n">
        <f aca="false">SUMPRODUCT(('Diccionario de Datos'!$A$2:$A$334=A7)/COUNTIFS('Diccionario de Datos'!$B$2:$B$334,'Diccionario de Datos'!$B$2:$B$334))</f>
        <v>7</v>
      </c>
      <c r="D7" s="6" t="n">
        <f aca="false">COUNTIF('Diccionario de Datos'!$A$2:$A$334,A7)</f>
        <v>52</v>
      </c>
      <c r="E7" s="5" t="s">
        <v>15</v>
      </c>
    </row>
    <row r="8" customFormat="false" ht="48" hidden="false" customHeight="true" outlineLevel="0" collapsed="false">
      <c r="A8" s="9" t="s">
        <v>16</v>
      </c>
      <c r="B8" s="5" t="s">
        <v>17</v>
      </c>
      <c r="C8" s="6" t="n">
        <f aca="false">SUMPRODUCT(('Diccionario de Datos'!$A$2:$A$334=A8)/COUNTIFS('Diccionario de Datos'!$B$2:$B$334,'Diccionario de Datos'!$B$2:$B$334))</f>
        <v>7</v>
      </c>
      <c r="D8" s="6" t="n">
        <f aca="false">COUNTIF('Diccionario de Datos'!$A$2:$A$334,A8)</f>
        <v>38</v>
      </c>
      <c r="E8" s="5" t="s">
        <v>18</v>
      </c>
    </row>
    <row r="9" customFormat="false" ht="48" hidden="false" customHeight="true" outlineLevel="0" collapsed="false">
      <c r="A9" s="10" t="s">
        <v>19</v>
      </c>
      <c r="B9" s="5" t="s">
        <v>20</v>
      </c>
      <c r="C9" s="6" t="n">
        <f aca="false">SUMPRODUCT(('Diccionario de Datos'!$A$2:$A$334=A9)/COUNTIFS('Diccionario de Datos'!$B$2:$B$334,'Diccionario de Datos'!$B$2:$B$334))</f>
        <v>7</v>
      </c>
      <c r="D9" s="6" t="n">
        <f aca="false">COUNTIF('Diccionario de Datos'!$A$2:$A$334,A9)</f>
        <v>45</v>
      </c>
      <c r="E9" s="5" t="s">
        <v>21</v>
      </c>
    </row>
    <row r="10" customFormat="false" ht="48" hidden="false" customHeight="true" outlineLevel="0" collapsed="false">
      <c r="A10" s="11" t="s">
        <v>22</v>
      </c>
      <c r="B10" s="5" t="s">
        <v>23</v>
      </c>
      <c r="C10" s="6" t="n">
        <f aca="false">SUMPRODUCT(('Diccionario de Datos'!$A$2:$A$334=A10)/COUNTIFS('Diccionario de Datos'!$B$2:$B$334,'Diccionario de Datos'!$B$2:$B$334))</f>
        <v>12</v>
      </c>
      <c r="D10" s="6" t="n">
        <f aca="false">COUNTIF('Diccionario de Datos'!$A$2:$A$334,A10)</f>
        <v>85</v>
      </c>
      <c r="E10" s="5" t="s">
        <v>24</v>
      </c>
    </row>
    <row r="11" customFormat="false" ht="15" hidden="false" customHeight="false" outlineLevel="0" collapsed="false">
      <c r="A11" s="12"/>
      <c r="B11" s="12" t="s">
        <v>25</v>
      </c>
      <c r="C11" s="13" t="n">
        <f aca="false">SUM(C5:C10)</f>
        <v>50</v>
      </c>
      <c r="D11" s="13" t="n">
        <f aca="false">SUM(D5:D10)</f>
        <v>333</v>
      </c>
      <c r="E11" s="12"/>
    </row>
    <row r="13" customFormat="false" ht="15" hidden="false" customHeight="false" outlineLevel="0" collapsed="false">
      <c r="A13" s="14" t="s">
        <v>26</v>
      </c>
    </row>
    <row r="14" customFormat="false" ht="30" hidden="false" customHeight="true" outlineLevel="0" collapsed="false">
      <c r="A14" s="3" t="s">
        <v>27</v>
      </c>
      <c r="B14" s="3" t="s">
        <v>28</v>
      </c>
      <c r="C14" s="3" t="s">
        <v>29</v>
      </c>
    </row>
    <row r="15" customFormat="false" ht="15" hidden="false" customHeight="false" outlineLevel="0" collapsed="false">
      <c r="A15" s="15" t="s">
        <v>30</v>
      </c>
      <c r="B15" s="16" t="s">
        <v>31</v>
      </c>
      <c r="C15" s="15" t="n">
        <f aca="false">COUNTIF('Matriz de Coherencia'!$A$2:$A$110,"1. Inicio de sesión y Perfil institucional")</f>
        <v>14</v>
      </c>
    </row>
    <row r="16" customFormat="false" ht="15" hidden="false" customHeight="false" outlineLevel="0" collapsed="false">
      <c r="A16" s="15" t="s">
        <v>32</v>
      </c>
      <c r="B16" s="16" t="s">
        <v>33</v>
      </c>
      <c r="C16" s="15" t="n">
        <f aca="false">COUNTIF('Matriz de Coherencia'!$A$2:$A$110,"2. Gestión de Semilleros")</f>
        <v>22</v>
      </c>
    </row>
    <row r="17" customFormat="false" ht="15" hidden="false" customHeight="false" outlineLevel="0" collapsed="false">
      <c r="A17" s="15" t="s">
        <v>34</v>
      </c>
      <c r="B17" s="16" t="s">
        <v>35</v>
      </c>
      <c r="C17" s="15" t="n">
        <f aca="false">COUNTIF('Matriz de Coherencia'!$A$2:$A$110,"3. Publicación de Convocatorias y Cronograma")</f>
        <v>14</v>
      </c>
    </row>
    <row r="18" customFormat="false" ht="15" hidden="false" customHeight="false" outlineLevel="0" collapsed="false">
      <c r="A18" s="15" t="s">
        <v>36</v>
      </c>
      <c r="B18" s="16" t="s">
        <v>37</v>
      </c>
      <c r="C18" s="15" t="n">
        <f aca="false">COUNTIF('Matriz de Coherencia'!$A$2:$A$110,"4. Formulario de Postulación con adjuntos en PDF")</f>
        <v>15</v>
      </c>
    </row>
    <row r="19" customFormat="false" ht="15" hidden="false" customHeight="false" outlineLevel="0" collapsed="false">
      <c r="A19" s="15" t="s">
        <v>38</v>
      </c>
      <c r="B19" s="16" t="s">
        <v>39</v>
      </c>
      <c r="C19" s="15" t="n">
        <f aca="false">COUNTIF('Matriz de Coherencia'!$A$2:$A$110,"5. Calificación de Jurados mediante Rúbricas y Criterios")</f>
        <v>13</v>
      </c>
    </row>
    <row r="20" customFormat="false" ht="15" hidden="false" customHeight="false" outlineLevel="0" collapsed="false">
      <c r="A20" s="15" t="s">
        <v>40</v>
      </c>
      <c r="B20" s="16" t="s">
        <v>41</v>
      </c>
      <c r="C20" s="15" t="n">
        <f aca="false">COUNTIF('Matriz de Coherencia'!$A$2:$A$110,"6. Vitrina de Insignias, Historial de Puntos y Ranking")</f>
        <v>14</v>
      </c>
    </row>
    <row r="21" customFormat="false" ht="15" hidden="false" customHeight="false" outlineLevel="0" collapsed="false">
      <c r="A21" s="15" t="s">
        <v>42</v>
      </c>
      <c r="B21" s="16" t="s">
        <v>43</v>
      </c>
      <c r="C21" s="15" t="n">
        <f aca="false">COUNTIF('Matriz de Coherencia'!$A$2:$A$110,"7. Registro de Artículos y Ponencias en Eventos")</f>
        <v>17</v>
      </c>
    </row>
    <row r="22" customFormat="false" ht="15" hidden="false" customHeight="false" outlineLevel="0" collapsed="false">
      <c r="A22" s="12"/>
      <c r="B22" s="12" t="s">
        <v>25</v>
      </c>
      <c r="C22" s="13" t="n">
        <f aca="false">SUM(C15:C21)</f>
        <v>109</v>
      </c>
    </row>
    <row r="24" customFormat="false" ht="15" hidden="false" customHeight="false" outlineLevel="0" collapsed="false">
      <c r="A24" s="17" t="s">
        <v>44</v>
      </c>
    </row>
    <row r="25" customFormat="false" ht="15" hidden="false" customHeight="false" outlineLevel="0" collapsed="false">
      <c r="A25" s="18" t="s">
        <v>45</v>
      </c>
    </row>
    <row r="26" customFormat="false" ht="15" hidden="false" customHeight="false" outlineLevel="0" collapsed="false">
      <c r="A26" s="18" t="s">
        <v>46</v>
      </c>
    </row>
    <row r="27" customFormat="false" ht="15" hidden="false" customHeight="false" outlineLevel="0" collapsed="false">
      <c r="A27" s="18" t="s">
        <v>47</v>
      </c>
    </row>
    <row r="28" customFormat="false" ht="15" hidden="false" customHeight="false" outlineLevel="0" collapsed="false">
      <c r="A28" s="18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42"/>
    <col collapsed="false" customWidth="true" hidden="false" outlineLevel="0" max="6" min="6" style="0" width="70"/>
  </cols>
  <sheetData>
    <row r="1" customFormat="false" ht="30" hidden="false" customHeight="true" outlineLevel="0" collapsed="false">
      <c r="A1" s="3" t="s">
        <v>2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</row>
    <row r="2" customFormat="false" ht="15" hidden="false" customHeight="false" outlineLevel="0" collapsed="false">
      <c r="A2" s="19" t="s">
        <v>7</v>
      </c>
      <c r="B2" s="20" t="s">
        <v>54</v>
      </c>
      <c r="C2" s="21" t="s">
        <v>55</v>
      </c>
      <c r="D2" s="21" t="s">
        <v>56</v>
      </c>
      <c r="E2" s="21" t="s">
        <v>57</v>
      </c>
      <c r="F2" s="21" t="s">
        <v>58</v>
      </c>
    </row>
    <row r="3" customFormat="false" ht="15" hidden="false" customHeight="false" outlineLevel="0" collapsed="false">
      <c r="A3" s="22" t="s">
        <v>7</v>
      </c>
      <c r="B3" s="4" t="s">
        <v>54</v>
      </c>
      <c r="C3" s="5" t="s">
        <v>59</v>
      </c>
      <c r="D3" s="5" t="s">
        <v>60</v>
      </c>
      <c r="E3" s="5" t="s">
        <v>61</v>
      </c>
      <c r="F3" s="5" t="s">
        <v>62</v>
      </c>
    </row>
    <row r="4" customFormat="false" ht="15" hidden="false" customHeight="false" outlineLevel="0" collapsed="false">
      <c r="A4" s="22" t="s">
        <v>7</v>
      </c>
      <c r="B4" s="4" t="s">
        <v>54</v>
      </c>
      <c r="C4" s="5" t="s">
        <v>63</v>
      </c>
      <c r="D4" s="5" t="s">
        <v>64</v>
      </c>
      <c r="E4" s="5" t="s">
        <v>61</v>
      </c>
      <c r="F4" s="5" t="s">
        <v>65</v>
      </c>
    </row>
    <row r="5" customFormat="false" ht="15" hidden="false" customHeight="false" outlineLevel="0" collapsed="false">
      <c r="A5" s="22" t="s">
        <v>7</v>
      </c>
      <c r="B5" s="4" t="s">
        <v>54</v>
      </c>
      <c r="C5" s="5" t="s">
        <v>66</v>
      </c>
      <c r="D5" s="5" t="s">
        <v>67</v>
      </c>
      <c r="E5" s="5" t="s">
        <v>68</v>
      </c>
      <c r="F5" s="5" t="s">
        <v>69</v>
      </c>
    </row>
    <row r="6" customFormat="false" ht="15" hidden="false" customHeight="false" outlineLevel="0" collapsed="false">
      <c r="A6" s="22" t="s">
        <v>7</v>
      </c>
      <c r="B6" s="4" t="s">
        <v>54</v>
      </c>
      <c r="C6" s="5" t="s">
        <v>70</v>
      </c>
      <c r="D6" s="5" t="s">
        <v>71</v>
      </c>
      <c r="E6" s="5" t="s">
        <v>72</v>
      </c>
      <c r="F6" s="5" t="s">
        <v>73</v>
      </c>
    </row>
    <row r="7" customFormat="false" ht="15" hidden="false" customHeight="false" outlineLevel="0" collapsed="false">
      <c r="A7" s="22" t="s">
        <v>7</v>
      </c>
      <c r="B7" s="4" t="s">
        <v>54</v>
      </c>
      <c r="C7" s="5" t="s">
        <v>74</v>
      </c>
      <c r="D7" s="5" t="s">
        <v>75</v>
      </c>
      <c r="E7" s="5" t="s">
        <v>76</v>
      </c>
      <c r="F7" s="5" t="s">
        <v>77</v>
      </c>
    </row>
    <row r="8" customFormat="false" ht="15" hidden="false" customHeight="false" outlineLevel="0" collapsed="false">
      <c r="A8" s="22" t="s">
        <v>7</v>
      </c>
      <c r="B8" s="4" t="s">
        <v>54</v>
      </c>
      <c r="C8" s="5" t="s">
        <v>78</v>
      </c>
      <c r="D8" s="5" t="s">
        <v>79</v>
      </c>
      <c r="E8" s="5" t="s">
        <v>80</v>
      </c>
      <c r="F8" s="5" t="s">
        <v>81</v>
      </c>
    </row>
    <row r="9" customFormat="false" ht="15" hidden="false" customHeight="false" outlineLevel="0" collapsed="false">
      <c r="A9" s="19" t="s">
        <v>7</v>
      </c>
      <c r="B9" s="20" t="s">
        <v>82</v>
      </c>
      <c r="C9" s="21" t="s">
        <v>83</v>
      </c>
      <c r="D9" s="21" t="s">
        <v>56</v>
      </c>
      <c r="E9" s="21" t="s">
        <v>57</v>
      </c>
      <c r="F9" s="21" t="s">
        <v>84</v>
      </c>
    </row>
    <row r="10" customFormat="false" ht="15" hidden="false" customHeight="false" outlineLevel="0" collapsed="false">
      <c r="A10" s="22" t="s">
        <v>7</v>
      </c>
      <c r="B10" s="4" t="s">
        <v>82</v>
      </c>
      <c r="C10" s="5" t="s">
        <v>55</v>
      </c>
      <c r="D10" s="5" t="s">
        <v>56</v>
      </c>
      <c r="E10" s="5" t="s">
        <v>85</v>
      </c>
      <c r="F10" s="5" t="s">
        <v>86</v>
      </c>
    </row>
    <row r="11" customFormat="false" ht="15" hidden="false" customHeight="false" outlineLevel="0" collapsed="false">
      <c r="A11" s="22" t="s">
        <v>7</v>
      </c>
      <c r="B11" s="4" t="s">
        <v>82</v>
      </c>
      <c r="C11" s="5" t="s">
        <v>59</v>
      </c>
      <c r="D11" s="5" t="s">
        <v>87</v>
      </c>
      <c r="E11" s="5" t="s">
        <v>68</v>
      </c>
      <c r="F11" s="5" t="s">
        <v>88</v>
      </c>
    </row>
    <row r="12" customFormat="false" ht="15" hidden="false" customHeight="false" outlineLevel="0" collapsed="false">
      <c r="A12" s="22" t="s">
        <v>7</v>
      </c>
      <c r="B12" s="4" t="s">
        <v>82</v>
      </c>
      <c r="C12" s="5" t="s">
        <v>63</v>
      </c>
      <c r="D12" s="5" t="s">
        <v>64</v>
      </c>
      <c r="E12" s="5" t="s">
        <v>61</v>
      </c>
      <c r="F12" s="5" t="s">
        <v>89</v>
      </c>
    </row>
    <row r="13" customFormat="false" ht="15" hidden="false" customHeight="false" outlineLevel="0" collapsed="false">
      <c r="A13" s="22" t="s">
        <v>7</v>
      </c>
      <c r="B13" s="4" t="s">
        <v>82</v>
      </c>
      <c r="C13" s="5" t="s">
        <v>90</v>
      </c>
      <c r="D13" s="5" t="s">
        <v>91</v>
      </c>
      <c r="E13" s="5" t="s">
        <v>72</v>
      </c>
      <c r="F13" s="5" t="s">
        <v>92</v>
      </c>
    </row>
    <row r="14" customFormat="false" ht="15" hidden="false" customHeight="false" outlineLevel="0" collapsed="false">
      <c r="A14" s="22" t="s">
        <v>7</v>
      </c>
      <c r="B14" s="4" t="s">
        <v>82</v>
      </c>
      <c r="C14" s="5" t="s">
        <v>74</v>
      </c>
      <c r="D14" s="5" t="s">
        <v>75</v>
      </c>
      <c r="E14" s="5" t="s">
        <v>76</v>
      </c>
      <c r="F14" s="5" t="s">
        <v>93</v>
      </c>
    </row>
    <row r="15" customFormat="false" ht="15" hidden="false" customHeight="false" outlineLevel="0" collapsed="false">
      <c r="A15" s="19" t="s">
        <v>7</v>
      </c>
      <c r="B15" s="20" t="s">
        <v>94</v>
      </c>
      <c r="C15" s="21" t="s">
        <v>95</v>
      </c>
      <c r="D15" s="21" t="s">
        <v>56</v>
      </c>
      <c r="E15" s="21" t="s">
        <v>57</v>
      </c>
      <c r="F15" s="21" t="s">
        <v>96</v>
      </c>
    </row>
    <row r="16" customFormat="false" ht="15" hidden="false" customHeight="false" outlineLevel="0" collapsed="false">
      <c r="A16" s="22" t="s">
        <v>7</v>
      </c>
      <c r="B16" s="4" t="s">
        <v>94</v>
      </c>
      <c r="C16" s="5" t="s">
        <v>83</v>
      </c>
      <c r="D16" s="5" t="s">
        <v>56</v>
      </c>
      <c r="E16" s="5" t="s">
        <v>97</v>
      </c>
      <c r="F16" s="5" t="s">
        <v>98</v>
      </c>
    </row>
    <row r="17" customFormat="false" ht="15" hidden="false" customHeight="false" outlineLevel="0" collapsed="false">
      <c r="A17" s="22" t="s">
        <v>7</v>
      </c>
      <c r="B17" s="4" t="s">
        <v>94</v>
      </c>
      <c r="C17" s="5" t="s">
        <v>55</v>
      </c>
      <c r="D17" s="5" t="s">
        <v>56</v>
      </c>
      <c r="E17" s="5" t="s">
        <v>85</v>
      </c>
      <c r="F17" s="5" t="s">
        <v>99</v>
      </c>
    </row>
    <row r="18" customFormat="false" ht="15" hidden="false" customHeight="false" outlineLevel="0" collapsed="false">
      <c r="A18" s="22" t="s">
        <v>7</v>
      </c>
      <c r="B18" s="4" t="s">
        <v>94</v>
      </c>
      <c r="C18" s="5" t="s">
        <v>59</v>
      </c>
      <c r="D18" s="5" t="s">
        <v>87</v>
      </c>
      <c r="E18" s="5" t="s">
        <v>68</v>
      </c>
      <c r="F18" s="5" t="s">
        <v>100</v>
      </c>
    </row>
    <row r="19" customFormat="false" ht="15" hidden="false" customHeight="false" outlineLevel="0" collapsed="false">
      <c r="A19" s="22" t="s">
        <v>7</v>
      </c>
      <c r="B19" s="4" t="s">
        <v>94</v>
      </c>
      <c r="C19" s="5" t="s">
        <v>63</v>
      </c>
      <c r="D19" s="5" t="s">
        <v>64</v>
      </c>
      <c r="E19" s="5" t="s">
        <v>61</v>
      </c>
      <c r="F19" s="5" t="s">
        <v>101</v>
      </c>
    </row>
    <row r="20" customFormat="false" ht="15" hidden="false" customHeight="false" outlineLevel="0" collapsed="false">
      <c r="A20" s="22" t="s">
        <v>7</v>
      </c>
      <c r="B20" s="4" t="s">
        <v>94</v>
      </c>
      <c r="C20" s="5" t="s">
        <v>102</v>
      </c>
      <c r="D20" s="5" t="s">
        <v>103</v>
      </c>
      <c r="E20" s="5" t="s">
        <v>68</v>
      </c>
      <c r="F20" s="5" t="s">
        <v>104</v>
      </c>
    </row>
    <row r="21" customFormat="false" ht="15" hidden="false" customHeight="false" outlineLevel="0" collapsed="false">
      <c r="A21" s="22" t="s">
        <v>7</v>
      </c>
      <c r="B21" s="4" t="s">
        <v>94</v>
      </c>
      <c r="C21" s="5" t="s">
        <v>74</v>
      </c>
      <c r="D21" s="5" t="s">
        <v>75</v>
      </c>
      <c r="E21" s="5" t="s">
        <v>76</v>
      </c>
      <c r="F21" s="5" t="s">
        <v>105</v>
      </c>
    </row>
    <row r="22" customFormat="false" ht="15" hidden="false" customHeight="false" outlineLevel="0" collapsed="false">
      <c r="A22" s="19" t="s">
        <v>7</v>
      </c>
      <c r="B22" s="20" t="s">
        <v>106</v>
      </c>
      <c r="C22" s="21" t="s">
        <v>107</v>
      </c>
      <c r="D22" s="21" t="s">
        <v>56</v>
      </c>
      <c r="E22" s="21" t="s">
        <v>57</v>
      </c>
      <c r="F22" s="21" t="s">
        <v>108</v>
      </c>
    </row>
    <row r="23" customFormat="false" ht="15" hidden="false" customHeight="false" outlineLevel="0" collapsed="false">
      <c r="A23" s="22" t="s">
        <v>7</v>
      </c>
      <c r="B23" s="4" t="s">
        <v>106</v>
      </c>
      <c r="C23" s="5" t="s">
        <v>95</v>
      </c>
      <c r="D23" s="5" t="s">
        <v>56</v>
      </c>
      <c r="E23" s="5" t="s">
        <v>109</v>
      </c>
      <c r="F23" s="5" t="s">
        <v>110</v>
      </c>
    </row>
    <row r="24" customFormat="false" ht="15" hidden="false" customHeight="false" outlineLevel="0" collapsed="false">
      <c r="A24" s="22" t="s">
        <v>7</v>
      </c>
      <c r="B24" s="4" t="s">
        <v>106</v>
      </c>
      <c r="C24" s="5" t="s">
        <v>55</v>
      </c>
      <c r="D24" s="5" t="s">
        <v>56</v>
      </c>
      <c r="E24" s="5" t="s">
        <v>85</v>
      </c>
      <c r="F24" s="5" t="s">
        <v>111</v>
      </c>
    </row>
    <row r="25" customFormat="false" ht="15" hidden="false" customHeight="false" outlineLevel="0" collapsed="false">
      <c r="A25" s="22" t="s">
        <v>7</v>
      </c>
      <c r="B25" s="4" t="s">
        <v>106</v>
      </c>
      <c r="C25" s="5" t="s">
        <v>112</v>
      </c>
      <c r="D25" s="5" t="s">
        <v>113</v>
      </c>
      <c r="E25" s="5" t="s">
        <v>68</v>
      </c>
      <c r="F25" s="5" t="s">
        <v>114</v>
      </c>
    </row>
    <row r="26" customFormat="false" ht="15" hidden="false" customHeight="false" outlineLevel="0" collapsed="false">
      <c r="A26" s="22" t="s">
        <v>7</v>
      </c>
      <c r="B26" s="4" t="s">
        <v>106</v>
      </c>
      <c r="C26" s="5" t="s">
        <v>115</v>
      </c>
      <c r="D26" s="5" t="s">
        <v>116</v>
      </c>
      <c r="E26" s="5" t="s">
        <v>68</v>
      </c>
      <c r="F26" s="5" t="s">
        <v>117</v>
      </c>
    </row>
    <row r="27" customFormat="false" ht="15" hidden="false" customHeight="false" outlineLevel="0" collapsed="false">
      <c r="A27" s="22" t="s">
        <v>7</v>
      </c>
      <c r="B27" s="4" t="s">
        <v>106</v>
      </c>
      <c r="C27" s="5" t="s">
        <v>118</v>
      </c>
      <c r="D27" s="5" t="s">
        <v>116</v>
      </c>
      <c r="E27" s="5" t="s">
        <v>68</v>
      </c>
      <c r="F27" s="5" t="s">
        <v>119</v>
      </c>
    </row>
    <row r="28" customFormat="false" ht="15" hidden="false" customHeight="false" outlineLevel="0" collapsed="false">
      <c r="A28" s="22" t="s">
        <v>7</v>
      </c>
      <c r="B28" s="4" t="s">
        <v>106</v>
      </c>
      <c r="C28" s="5" t="s">
        <v>120</v>
      </c>
      <c r="D28" s="5" t="s">
        <v>87</v>
      </c>
      <c r="E28" s="5" t="s">
        <v>61</v>
      </c>
      <c r="F28" s="5" t="s">
        <v>121</v>
      </c>
    </row>
    <row r="29" customFormat="false" ht="15" hidden="false" customHeight="false" outlineLevel="0" collapsed="false">
      <c r="A29" s="22" t="s">
        <v>7</v>
      </c>
      <c r="B29" s="4" t="s">
        <v>106</v>
      </c>
      <c r="C29" s="5" t="s">
        <v>122</v>
      </c>
      <c r="D29" s="5" t="s">
        <v>113</v>
      </c>
      <c r="E29" s="5" t="s">
        <v>61</v>
      </c>
      <c r="F29" s="5" t="s">
        <v>123</v>
      </c>
    </row>
    <row r="30" customFormat="false" ht="15" hidden="false" customHeight="false" outlineLevel="0" collapsed="false">
      <c r="A30" s="22" t="s">
        <v>7</v>
      </c>
      <c r="B30" s="4" t="s">
        <v>106</v>
      </c>
      <c r="C30" s="5" t="s">
        <v>124</v>
      </c>
      <c r="D30" s="5" t="s">
        <v>64</v>
      </c>
      <c r="E30" s="5" t="s">
        <v>72</v>
      </c>
      <c r="F30" s="5" t="s">
        <v>125</v>
      </c>
    </row>
    <row r="31" customFormat="false" ht="15" hidden="false" customHeight="false" outlineLevel="0" collapsed="false">
      <c r="A31" s="22" t="s">
        <v>7</v>
      </c>
      <c r="B31" s="4" t="s">
        <v>106</v>
      </c>
      <c r="C31" s="5" t="s">
        <v>74</v>
      </c>
      <c r="D31" s="5" t="s">
        <v>64</v>
      </c>
      <c r="E31" s="5" t="s">
        <v>126</v>
      </c>
      <c r="F31" s="5" t="s">
        <v>127</v>
      </c>
    </row>
    <row r="32" customFormat="false" ht="15" hidden="false" customHeight="false" outlineLevel="0" collapsed="false">
      <c r="A32" s="22" t="s">
        <v>7</v>
      </c>
      <c r="B32" s="4" t="s">
        <v>106</v>
      </c>
      <c r="C32" s="5" t="s">
        <v>78</v>
      </c>
      <c r="D32" s="5" t="s">
        <v>79</v>
      </c>
      <c r="E32" s="5" t="s">
        <v>80</v>
      </c>
      <c r="F32" s="5" t="s">
        <v>128</v>
      </c>
    </row>
    <row r="33" customFormat="false" ht="15" hidden="false" customHeight="false" outlineLevel="0" collapsed="false">
      <c r="A33" s="22" t="s">
        <v>7</v>
      </c>
      <c r="B33" s="4" t="s">
        <v>106</v>
      </c>
      <c r="C33" s="5" t="s">
        <v>129</v>
      </c>
      <c r="D33" s="5" t="s">
        <v>79</v>
      </c>
      <c r="E33" s="5" t="s">
        <v>68</v>
      </c>
      <c r="F33" s="5" t="s">
        <v>130</v>
      </c>
    </row>
    <row r="34" customFormat="false" ht="15" hidden="false" customHeight="false" outlineLevel="0" collapsed="false">
      <c r="A34" s="19" t="s">
        <v>7</v>
      </c>
      <c r="B34" s="20" t="s">
        <v>131</v>
      </c>
      <c r="C34" s="21" t="s">
        <v>132</v>
      </c>
      <c r="D34" s="21" t="s">
        <v>56</v>
      </c>
      <c r="E34" s="21" t="s">
        <v>57</v>
      </c>
      <c r="F34" s="21" t="s">
        <v>133</v>
      </c>
    </row>
    <row r="35" customFormat="false" ht="15" hidden="false" customHeight="false" outlineLevel="0" collapsed="false">
      <c r="A35" s="22" t="s">
        <v>7</v>
      </c>
      <c r="B35" s="4" t="s">
        <v>131</v>
      </c>
      <c r="C35" s="5" t="s">
        <v>107</v>
      </c>
      <c r="D35" s="5" t="s">
        <v>56</v>
      </c>
      <c r="E35" s="5" t="s">
        <v>134</v>
      </c>
      <c r="F35" s="5" t="s">
        <v>135</v>
      </c>
    </row>
    <row r="36" customFormat="false" ht="15" hidden="false" customHeight="false" outlineLevel="0" collapsed="false">
      <c r="A36" s="22" t="s">
        <v>7</v>
      </c>
      <c r="B36" s="4" t="s">
        <v>131</v>
      </c>
      <c r="C36" s="5" t="s">
        <v>136</v>
      </c>
      <c r="D36" s="5" t="s">
        <v>113</v>
      </c>
      <c r="E36" s="5" t="s">
        <v>68</v>
      </c>
      <c r="F36" s="5" t="s">
        <v>137</v>
      </c>
    </row>
    <row r="37" customFormat="false" ht="15" hidden="false" customHeight="false" outlineLevel="0" collapsed="false">
      <c r="A37" s="22" t="s">
        <v>7</v>
      </c>
      <c r="B37" s="4" t="s">
        <v>131</v>
      </c>
      <c r="C37" s="5" t="s">
        <v>138</v>
      </c>
      <c r="D37" s="5" t="s">
        <v>139</v>
      </c>
      <c r="E37" s="5" t="s">
        <v>140</v>
      </c>
      <c r="F37" s="5" t="s">
        <v>141</v>
      </c>
    </row>
    <row r="38" customFormat="false" ht="15" hidden="false" customHeight="false" outlineLevel="0" collapsed="false">
      <c r="A38" s="22" t="s">
        <v>7</v>
      </c>
      <c r="B38" s="4" t="s">
        <v>131</v>
      </c>
      <c r="C38" s="5" t="s">
        <v>142</v>
      </c>
      <c r="D38" s="5" t="s">
        <v>143</v>
      </c>
      <c r="E38" s="5" t="s">
        <v>72</v>
      </c>
      <c r="F38" s="5" t="s">
        <v>144</v>
      </c>
    </row>
    <row r="39" customFormat="false" ht="15" hidden="false" customHeight="false" outlineLevel="0" collapsed="false">
      <c r="A39" s="22" t="s">
        <v>7</v>
      </c>
      <c r="B39" s="4" t="s">
        <v>131</v>
      </c>
      <c r="C39" s="5" t="s">
        <v>145</v>
      </c>
      <c r="D39" s="5" t="s">
        <v>79</v>
      </c>
      <c r="E39" s="5" t="s">
        <v>72</v>
      </c>
      <c r="F39" s="5" t="s">
        <v>146</v>
      </c>
    </row>
    <row r="40" customFormat="false" ht="15" hidden="false" customHeight="false" outlineLevel="0" collapsed="false">
      <c r="A40" s="22" t="s">
        <v>7</v>
      </c>
      <c r="B40" s="4" t="s">
        <v>131</v>
      </c>
      <c r="C40" s="5" t="s">
        <v>147</v>
      </c>
      <c r="D40" s="5" t="s">
        <v>75</v>
      </c>
      <c r="E40" s="5" t="s">
        <v>148</v>
      </c>
      <c r="F40" s="5" t="s">
        <v>149</v>
      </c>
    </row>
    <row r="41" customFormat="false" ht="15" hidden="false" customHeight="false" outlineLevel="0" collapsed="false">
      <c r="A41" s="22" t="s">
        <v>7</v>
      </c>
      <c r="B41" s="4" t="s">
        <v>131</v>
      </c>
      <c r="C41" s="5" t="s">
        <v>78</v>
      </c>
      <c r="D41" s="5" t="s">
        <v>79</v>
      </c>
      <c r="E41" s="5" t="s">
        <v>80</v>
      </c>
      <c r="F41" s="5" t="s">
        <v>150</v>
      </c>
    </row>
    <row r="42" customFormat="false" ht="15" hidden="false" customHeight="false" outlineLevel="0" collapsed="false">
      <c r="A42" s="19" t="s">
        <v>7</v>
      </c>
      <c r="B42" s="20" t="s">
        <v>151</v>
      </c>
      <c r="C42" s="21" t="s">
        <v>152</v>
      </c>
      <c r="D42" s="21" t="s">
        <v>56</v>
      </c>
      <c r="E42" s="21" t="s">
        <v>57</v>
      </c>
      <c r="F42" s="21" t="s">
        <v>153</v>
      </c>
    </row>
    <row r="43" customFormat="false" ht="15" hidden="false" customHeight="false" outlineLevel="0" collapsed="false">
      <c r="A43" s="22" t="s">
        <v>7</v>
      </c>
      <c r="B43" s="4" t="s">
        <v>151</v>
      </c>
      <c r="C43" s="5" t="s">
        <v>59</v>
      </c>
      <c r="D43" s="5" t="s">
        <v>154</v>
      </c>
      <c r="E43" s="5" t="s">
        <v>61</v>
      </c>
      <c r="F43" s="5" t="s">
        <v>155</v>
      </c>
    </row>
    <row r="44" customFormat="false" ht="15" hidden="false" customHeight="false" outlineLevel="0" collapsed="false">
      <c r="A44" s="22" t="s">
        <v>7</v>
      </c>
      <c r="B44" s="4" t="s">
        <v>151</v>
      </c>
      <c r="C44" s="5" t="s">
        <v>90</v>
      </c>
      <c r="D44" s="5" t="s">
        <v>143</v>
      </c>
      <c r="E44" s="5" t="s">
        <v>72</v>
      </c>
      <c r="F44" s="5" t="s">
        <v>156</v>
      </c>
    </row>
    <row r="45" customFormat="false" ht="15" hidden="false" customHeight="false" outlineLevel="0" collapsed="false">
      <c r="A45" s="22" t="s">
        <v>7</v>
      </c>
      <c r="B45" s="4" t="s">
        <v>151</v>
      </c>
      <c r="C45" s="5" t="s">
        <v>157</v>
      </c>
      <c r="D45" s="5" t="s">
        <v>75</v>
      </c>
      <c r="E45" s="5" t="s">
        <v>148</v>
      </c>
      <c r="F45" s="5" t="s">
        <v>158</v>
      </c>
    </row>
    <row r="46" customFormat="false" ht="15" hidden="false" customHeight="false" outlineLevel="0" collapsed="false">
      <c r="A46" s="19" t="s">
        <v>7</v>
      </c>
      <c r="B46" s="20" t="s">
        <v>159</v>
      </c>
      <c r="C46" s="21" t="s">
        <v>160</v>
      </c>
      <c r="D46" s="21" t="s">
        <v>56</v>
      </c>
      <c r="E46" s="21" t="s">
        <v>57</v>
      </c>
      <c r="F46" s="21" t="s">
        <v>161</v>
      </c>
    </row>
    <row r="47" customFormat="false" ht="15" hidden="false" customHeight="false" outlineLevel="0" collapsed="false">
      <c r="A47" s="22" t="s">
        <v>7</v>
      </c>
      <c r="B47" s="4" t="s">
        <v>159</v>
      </c>
      <c r="C47" s="5" t="s">
        <v>63</v>
      </c>
      <c r="D47" s="5" t="s">
        <v>67</v>
      </c>
      <c r="E47" s="5" t="s">
        <v>61</v>
      </c>
      <c r="F47" s="5" t="s">
        <v>162</v>
      </c>
    </row>
    <row r="48" customFormat="false" ht="15" hidden="false" customHeight="false" outlineLevel="0" collapsed="false">
      <c r="A48" s="22" t="s">
        <v>7</v>
      </c>
      <c r="B48" s="4" t="s">
        <v>159</v>
      </c>
      <c r="C48" s="5" t="s">
        <v>163</v>
      </c>
      <c r="D48" s="5" t="s">
        <v>103</v>
      </c>
      <c r="E48" s="5" t="s">
        <v>68</v>
      </c>
      <c r="F48" s="5" t="s">
        <v>164</v>
      </c>
    </row>
    <row r="49" customFormat="false" ht="15" hidden="false" customHeight="false" outlineLevel="0" collapsed="false">
      <c r="A49" s="22" t="s">
        <v>7</v>
      </c>
      <c r="B49" s="4" t="s">
        <v>159</v>
      </c>
      <c r="C49" s="5" t="s">
        <v>90</v>
      </c>
      <c r="D49" s="5" t="s">
        <v>143</v>
      </c>
      <c r="E49" s="5" t="s">
        <v>72</v>
      </c>
      <c r="F49" s="5" t="s">
        <v>165</v>
      </c>
    </row>
    <row r="50" customFormat="false" ht="15" hidden="false" customHeight="false" outlineLevel="0" collapsed="false">
      <c r="A50" s="19" t="s">
        <v>7</v>
      </c>
      <c r="B50" s="20" t="s">
        <v>166</v>
      </c>
      <c r="C50" s="21" t="s">
        <v>107</v>
      </c>
      <c r="D50" s="21" t="s">
        <v>56</v>
      </c>
      <c r="E50" s="21" t="s">
        <v>167</v>
      </c>
      <c r="F50" s="21" t="s">
        <v>168</v>
      </c>
    </row>
    <row r="51" customFormat="false" ht="15" hidden="false" customHeight="false" outlineLevel="0" collapsed="false">
      <c r="A51" s="22" t="s">
        <v>7</v>
      </c>
      <c r="B51" s="4" t="s">
        <v>166</v>
      </c>
      <c r="C51" s="5" t="s">
        <v>152</v>
      </c>
      <c r="D51" s="5" t="s">
        <v>56</v>
      </c>
      <c r="E51" s="5" t="s">
        <v>169</v>
      </c>
      <c r="F51" s="5" t="s">
        <v>170</v>
      </c>
    </row>
    <row r="52" customFormat="false" ht="15" hidden="false" customHeight="false" outlineLevel="0" collapsed="false">
      <c r="A52" s="22" t="s">
        <v>7</v>
      </c>
      <c r="B52" s="4" t="s">
        <v>166</v>
      </c>
      <c r="C52" s="5" t="s">
        <v>171</v>
      </c>
      <c r="D52" s="5" t="s">
        <v>56</v>
      </c>
      <c r="E52" s="5" t="s">
        <v>172</v>
      </c>
      <c r="F52" s="5" t="s">
        <v>173</v>
      </c>
    </row>
    <row r="53" customFormat="false" ht="15" hidden="false" customHeight="false" outlineLevel="0" collapsed="false">
      <c r="A53" s="22" t="s">
        <v>7</v>
      </c>
      <c r="B53" s="4" t="s">
        <v>166</v>
      </c>
      <c r="C53" s="5" t="s">
        <v>174</v>
      </c>
      <c r="D53" s="5" t="s">
        <v>79</v>
      </c>
      <c r="E53" s="5" t="s">
        <v>80</v>
      </c>
      <c r="F53" s="5" t="s">
        <v>175</v>
      </c>
    </row>
    <row r="54" customFormat="false" ht="15" hidden="false" customHeight="false" outlineLevel="0" collapsed="false">
      <c r="A54" s="22" t="s">
        <v>7</v>
      </c>
      <c r="B54" s="4" t="s">
        <v>166</v>
      </c>
      <c r="C54" s="5" t="s">
        <v>176</v>
      </c>
      <c r="D54" s="5" t="s">
        <v>79</v>
      </c>
      <c r="E54" s="5" t="s">
        <v>72</v>
      </c>
      <c r="F54" s="5" t="s">
        <v>177</v>
      </c>
    </row>
    <row r="55" customFormat="false" ht="15" hidden="false" customHeight="false" outlineLevel="0" collapsed="false">
      <c r="A55" s="19" t="s">
        <v>7</v>
      </c>
      <c r="B55" s="20" t="s">
        <v>178</v>
      </c>
      <c r="C55" s="21" t="s">
        <v>152</v>
      </c>
      <c r="D55" s="21" t="s">
        <v>56</v>
      </c>
      <c r="E55" s="21" t="s">
        <v>169</v>
      </c>
      <c r="F55" s="21" t="s">
        <v>179</v>
      </c>
    </row>
    <row r="56" customFormat="false" ht="15" hidden="false" customHeight="false" outlineLevel="0" collapsed="false">
      <c r="A56" s="22" t="s">
        <v>7</v>
      </c>
      <c r="B56" s="4" t="s">
        <v>178</v>
      </c>
      <c r="C56" s="5" t="s">
        <v>160</v>
      </c>
      <c r="D56" s="5" t="s">
        <v>56</v>
      </c>
      <c r="E56" s="5" t="s">
        <v>180</v>
      </c>
      <c r="F56" s="5" t="s">
        <v>181</v>
      </c>
    </row>
    <row r="57" customFormat="false" ht="15" hidden="false" customHeight="false" outlineLevel="0" collapsed="false">
      <c r="A57" s="22" t="s">
        <v>7</v>
      </c>
      <c r="B57" s="4" t="s">
        <v>178</v>
      </c>
      <c r="C57" s="5" t="s">
        <v>182</v>
      </c>
      <c r="D57" s="5" t="s">
        <v>79</v>
      </c>
      <c r="E57" s="5" t="s">
        <v>80</v>
      </c>
      <c r="F57" s="5" t="s">
        <v>183</v>
      </c>
    </row>
    <row r="58" customFormat="false" ht="15" hidden="false" customHeight="false" outlineLevel="0" collapsed="false">
      <c r="A58" s="19" t="s">
        <v>7</v>
      </c>
      <c r="B58" s="20" t="s">
        <v>184</v>
      </c>
      <c r="C58" s="21" t="s">
        <v>185</v>
      </c>
      <c r="D58" s="21" t="s">
        <v>56</v>
      </c>
      <c r="E58" s="21" t="s">
        <v>57</v>
      </c>
      <c r="F58" s="21" t="s">
        <v>186</v>
      </c>
    </row>
    <row r="59" customFormat="false" ht="15" hidden="false" customHeight="false" outlineLevel="0" collapsed="false">
      <c r="A59" s="22" t="s">
        <v>7</v>
      </c>
      <c r="B59" s="4" t="s">
        <v>184</v>
      </c>
      <c r="C59" s="5" t="s">
        <v>107</v>
      </c>
      <c r="D59" s="5" t="s">
        <v>56</v>
      </c>
      <c r="E59" s="5" t="s">
        <v>134</v>
      </c>
      <c r="F59" s="5" t="s">
        <v>187</v>
      </c>
    </row>
    <row r="60" customFormat="false" ht="15" hidden="false" customHeight="false" outlineLevel="0" collapsed="false">
      <c r="A60" s="22" t="s">
        <v>7</v>
      </c>
      <c r="B60" s="4" t="s">
        <v>184</v>
      </c>
      <c r="C60" s="5" t="s">
        <v>188</v>
      </c>
      <c r="D60" s="5" t="s">
        <v>143</v>
      </c>
      <c r="E60" s="5" t="s">
        <v>61</v>
      </c>
      <c r="F60" s="5" t="s">
        <v>189</v>
      </c>
    </row>
    <row r="61" customFormat="false" ht="15" hidden="false" customHeight="false" outlineLevel="0" collapsed="false">
      <c r="A61" s="22" t="s">
        <v>7</v>
      </c>
      <c r="B61" s="4" t="s">
        <v>184</v>
      </c>
      <c r="C61" s="5" t="s">
        <v>190</v>
      </c>
      <c r="D61" s="5" t="s">
        <v>191</v>
      </c>
      <c r="E61" s="5" t="s">
        <v>72</v>
      </c>
      <c r="F61" s="5" t="s">
        <v>192</v>
      </c>
    </row>
    <row r="62" customFormat="false" ht="15" hidden="false" customHeight="false" outlineLevel="0" collapsed="false">
      <c r="A62" s="22" t="s">
        <v>7</v>
      </c>
      <c r="B62" s="4" t="s">
        <v>184</v>
      </c>
      <c r="C62" s="5" t="s">
        <v>193</v>
      </c>
      <c r="D62" s="5" t="s">
        <v>143</v>
      </c>
      <c r="E62" s="5" t="s">
        <v>72</v>
      </c>
      <c r="F62" s="5" t="s">
        <v>194</v>
      </c>
    </row>
    <row r="63" customFormat="false" ht="15" hidden="false" customHeight="false" outlineLevel="0" collapsed="false">
      <c r="A63" s="22" t="s">
        <v>7</v>
      </c>
      <c r="B63" s="4" t="s">
        <v>184</v>
      </c>
      <c r="C63" s="5" t="s">
        <v>195</v>
      </c>
      <c r="D63" s="5" t="s">
        <v>79</v>
      </c>
      <c r="E63" s="5" t="s">
        <v>80</v>
      </c>
      <c r="F63" s="5" t="s">
        <v>196</v>
      </c>
    </row>
    <row r="64" customFormat="false" ht="15" hidden="false" customHeight="false" outlineLevel="0" collapsed="false">
      <c r="A64" s="22" t="s">
        <v>7</v>
      </c>
      <c r="B64" s="4" t="s">
        <v>184</v>
      </c>
      <c r="C64" s="5" t="s">
        <v>197</v>
      </c>
      <c r="D64" s="5" t="s">
        <v>79</v>
      </c>
      <c r="E64" s="5" t="s">
        <v>68</v>
      </c>
      <c r="F64" s="5" t="s">
        <v>198</v>
      </c>
    </row>
    <row r="65" customFormat="false" ht="15" hidden="false" customHeight="false" outlineLevel="0" collapsed="false">
      <c r="A65" s="22" t="s">
        <v>7</v>
      </c>
      <c r="B65" s="4" t="s">
        <v>184</v>
      </c>
      <c r="C65" s="5" t="s">
        <v>199</v>
      </c>
      <c r="D65" s="5" t="s">
        <v>79</v>
      </c>
      <c r="E65" s="5" t="s">
        <v>72</v>
      </c>
      <c r="F65" s="5" t="s">
        <v>200</v>
      </c>
    </row>
    <row r="66" customFormat="false" ht="15" hidden="false" customHeight="false" outlineLevel="0" collapsed="false">
      <c r="A66" s="23" t="s">
        <v>10</v>
      </c>
      <c r="B66" s="24" t="s">
        <v>201</v>
      </c>
      <c r="C66" s="21" t="s">
        <v>202</v>
      </c>
      <c r="D66" s="21" t="s">
        <v>56</v>
      </c>
      <c r="E66" s="21" t="s">
        <v>57</v>
      </c>
      <c r="F66" s="21" t="s">
        <v>203</v>
      </c>
    </row>
    <row r="67" customFormat="false" ht="15" hidden="false" customHeight="false" outlineLevel="0" collapsed="false">
      <c r="A67" s="25" t="s">
        <v>10</v>
      </c>
      <c r="B67" s="7" t="s">
        <v>201</v>
      </c>
      <c r="C67" s="5" t="s">
        <v>83</v>
      </c>
      <c r="D67" s="5" t="s">
        <v>56</v>
      </c>
      <c r="E67" s="5" t="s">
        <v>97</v>
      </c>
      <c r="F67" s="5" t="s">
        <v>204</v>
      </c>
    </row>
    <row r="68" customFormat="false" ht="15" hidden="false" customHeight="false" outlineLevel="0" collapsed="false">
      <c r="A68" s="25" t="s">
        <v>10</v>
      </c>
      <c r="B68" s="7" t="s">
        <v>201</v>
      </c>
      <c r="C68" s="5" t="s">
        <v>59</v>
      </c>
      <c r="D68" s="5" t="s">
        <v>87</v>
      </c>
      <c r="E68" s="5" t="s">
        <v>68</v>
      </c>
      <c r="F68" s="5" t="s">
        <v>205</v>
      </c>
    </row>
    <row r="69" customFormat="false" ht="15" hidden="false" customHeight="false" outlineLevel="0" collapsed="false">
      <c r="A69" s="25" t="s">
        <v>10</v>
      </c>
      <c r="B69" s="7" t="s">
        <v>201</v>
      </c>
      <c r="C69" s="5" t="s">
        <v>63</v>
      </c>
      <c r="D69" s="5" t="s">
        <v>64</v>
      </c>
      <c r="E69" s="5" t="s">
        <v>61</v>
      </c>
      <c r="F69" s="5" t="s">
        <v>206</v>
      </c>
    </row>
    <row r="70" customFormat="false" ht="15" hidden="false" customHeight="false" outlineLevel="0" collapsed="false">
      <c r="A70" s="25" t="s">
        <v>10</v>
      </c>
      <c r="B70" s="7" t="s">
        <v>201</v>
      </c>
      <c r="C70" s="5" t="s">
        <v>90</v>
      </c>
      <c r="D70" s="5" t="s">
        <v>91</v>
      </c>
      <c r="E70" s="5" t="s">
        <v>72</v>
      </c>
      <c r="F70" s="5" t="s">
        <v>207</v>
      </c>
    </row>
    <row r="71" customFormat="false" ht="15" hidden="false" customHeight="false" outlineLevel="0" collapsed="false">
      <c r="A71" s="25" t="s">
        <v>10</v>
      </c>
      <c r="B71" s="7" t="s">
        <v>201</v>
      </c>
      <c r="C71" s="5" t="s">
        <v>74</v>
      </c>
      <c r="D71" s="5" t="s">
        <v>75</v>
      </c>
      <c r="E71" s="5" t="s">
        <v>76</v>
      </c>
      <c r="F71" s="5" t="s">
        <v>208</v>
      </c>
    </row>
    <row r="72" customFormat="false" ht="15" hidden="false" customHeight="false" outlineLevel="0" collapsed="false">
      <c r="A72" s="23" t="s">
        <v>10</v>
      </c>
      <c r="B72" s="24" t="s">
        <v>209</v>
      </c>
      <c r="C72" s="21" t="s">
        <v>210</v>
      </c>
      <c r="D72" s="21" t="s">
        <v>56</v>
      </c>
      <c r="E72" s="21" t="s">
        <v>57</v>
      </c>
      <c r="F72" s="21" t="s">
        <v>211</v>
      </c>
    </row>
    <row r="73" customFormat="false" ht="15" hidden="false" customHeight="false" outlineLevel="0" collapsed="false">
      <c r="A73" s="25" t="s">
        <v>10</v>
      </c>
      <c r="B73" s="7" t="s">
        <v>209</v>
      </c>
      <c r="C73" s="5" t="s">
        <v>95</v>
      </c>
      <c r="D73" s="5" t="s">
        <v>56</v>
      </c>
      <c r="E73" s="5" t="s">
        <v>212</v>
      </c>
      <c r="F73" s="5" t="s">
        <v>213</v>
      </c>
    </row>
    <row r="74" customFormat="false" ht="15" hidden="false" customHeight="false" outlineLevel="0" collapsed="false">
      <c r="A74" s="25" t="s">
        <v>10</v>
      </c>
      <c r="B74" s="7" t="s">
        <v>209</v>
      </c>
      <c r="C74" s="5" t="s">
        <v>55</v>
      </c>
      <c r="D74" s="5" t="s">
        <v>56</v>
      </c>
      <c r="E74" s="5" t="s">
        <v>85</v>
      </c>
      <c r="F74" s="5" t="s">
        <v>214</v>
      </c>
    </row>
    <row r="75" customFormat="false" ht="15" hidden="false" customHeight="false" outlineLevel="0" collapsed="false">
      <c r="A75" s="25" t="s">
        <v>10</v>
      </c>
      <c r="B75" s="7" t="s">
        <v>209</v>
      </c>
      <c r="C75" s="5" t="s">
        <v>215</v>
      </c>
      <c r="D75" s="5" t="s">
        <v>56</v>
      </c>
      <c r="E75" s="5" t="s">
        <v>134</v>
      </c>
      <c r="F75" s="5" t="s">
        <v>216</v>
      </c>
    </row>
    <row r="76" customFormat="false" ht="15" hidden="false" customHeight="false" outlineLevel="0" collapsed="false">
      <c r="A76" s="25" t="s">
        <v>10</v>
      </c>
      <c r="B76" s="7" t="s">
        <v>209</v>
      </c>
      <c r="C76" s="5" t="s">
        <v>59</v>
      </c>
      <c r="D76" s="5" t="s">
        <v>87</v>
      </c>
      <c r="E76" s="5" t="s">
        <v>68</v>
      </c>
      <c r="F76" s="5" t="s">
        <v>217</v>
      </c>
    </row>
    <row r="77" customFormat="false" ht="15" hidden="false" customHeight="false" outlineLevel="0" collapsed="false">
      <c r="A77" s="25" t="s">
        <v>10</v>
      </c>
      <c r="B77" s="7" t="s">
        <v>209</v>
      </c>
      <c r="C77" s="5" t="s">
        <v>63</v>
      </c>
      <c r="D77" s="5" t="s">
        <v>64</v>
      </c>
      <c r="E77" s="5" t="s">
        <v>61</v>
      </c>
      <c r="F77" s="5" t="s">
        <v>218</v>
      </c>
    </row>
    <row r="78" customFormat="false" ht="15" hidden="false" customHeight="false" outlineLevel="0" collapsed="false">
      <c r="A78" s="25" t="s">
        <v>10</v>
      </c>
      <c r="B78" s="7" t="s">
        <v>209</v>
      </c>
      <c r="C78" s="5" t="s">
        <v>219</v>
      </c>
      <c r="D78" s="5" t="s">
        <v>91</v>
      </c>
      <c r="E78" s="5" t="s">
        <v>72</v>
      </c>
      <c r="F78" s="5" t="s">
        <v>220</v>
      </c>
    </row>
    <row r="79" customFormat="false" ht="15" hidden="false" customHeight="false" outlineLevel="0" collapsed="false">
      <c r="A79" s="25" t="s">
        <v>10</v>
      </c>
      <c r="B79" s="7" t="s">
        <v>209</v>
      </c>
      <c r="C79" s="5" t="s">
        <v>221</v>
      </c>
      <c r="D79" s="5" t="s">
        <v>222</v>
      </c>
      <c r="E79" s="5" t="s">
        <v>68</v>
      </c>
      <c r="F79" s="5" t="s">
        <v>223</v>
      </c>
    </row>
    <row r="80" customFormat="false" ht="15" hidden="false" customHeight="false" outlineLevel="0" collapsed="false">
      <c r="A80" s="25" t="s">
        <v>10</v>
      </c>
      <c r="B80" s="7" t="s">
        <v>209</v>
      </c>
      <c r="C80" s="5" t="s">
        <v>74</v>
      </c>
      <c r="D80" s="5" t="s">
        <v>64</v>
      </c>
      <c r="E80" s="5" t="s">
        <v>126</v>
      </c>
      <c r="F80" s="5" t="s">
        <v>224</v>
      </c>
    </row>
    <row r="81" customFormat="false" ht="15" hidden="false" customHeight="false" outlineLevel="0" collapsed="false">
      <c r="A81" s="25" t="s">
        <v>10</v>
      </c>
      <c r="B81" s="7" t="s">
        <v>209</v>
      </c>
      <c r="C81" s="5" t="s">
        <v>78</v>
      </c>
      <c r="D81" s="5" t="s">
        <v>79</v>
      </c>
      <c r="E81" s="5" t="s">
        <v>80</v>
      </c>
      <c r="F81" s="5" t="s">
        <v>225</v>
      </c>
    </row>
    <row r="82" customFormat="false" ht="15" hidden="false" customHeight="false" outlineLevel="0" collapsed="false">
      <c r="A82" s="23" t="s">
        <v>10</v>
      </c>
      <c r="B82" s="24" t="s">
        <v>226</v>
      </c>
      <c r="C82" s="21" t="s">
        <v>210</v>
      </c>
      <c r="D82" s="21" t="s">
        <v>56</v>
      </c>
      <c r="E82" s="21" t="s">
        <v>227</v>
      </c>
      <c r="F82" s="21" t="s">
        <v>228</v>
      </c>
    </row>
    <row r="83" customFormat="false" ht="15" hidden="false" customHeight="false" outlineLevel="0" collapsed="false">
      <c r="A83" s="25" t="s">
        <v>10</v>
      </c>
      <c r="B83" s="7" t="s">
        <v>226</v>
      </c>
      <c r="C83" s="5" t="s">
        <v>202</v>
      </c>
      <c r="D83" s="5" t="s">
        <v>56</v>
      </c>
      <c r="E83" s="5" t="s">
        <v>229</v>
      </c>
      <c r="F83" s="5" t="s">
        <v>230</v>
      </c>
    </row>
    <row r="84" customFormat="false" ht="15" hidden="false" customHeight="false" outlineLevel="0" collapsed="false">
      <c r="A84" s="25" t="s">
        <v>10</v>
      </c>
      <c r="B84" s="7" t="s">
        <v>226</v>
      </c>
      <c r="C84" s="5" t="s">
        <v>231</v>
      </c>
      <c r="D84" s="5" t="s">
        <v>75</v>
      </c>
      <c r="E84" s="5" t="s">
        <v>148</v>
      </c>
      <c r="F84" s="5" t="s">
        <v>232</v>
      </c>
    </row>
    <row r="85" customFormat="false" ht="15" hidden="false" customHeight="false" outlineLevel="0" collapsed="false">
      <c r="A85" s="23" t="s">
        <v>10</v>
      </c>
      <c r="B85" s="24" t="s">
        <v>233</v>
      </c>
      <c r="C85" s="21" t="s">
        <v>234</v>
      </c>
      <c r="D85" s="21" t="s">
        <v>56</v>
      </c>
      <c r="E85" s="21" t="s">
        <v>57</v>
      </c>
      <c r="F85" s="21" t="s">
        <v>235</v>
      </c>
    </row>
    <row r="86" customFormat="false" ht="15" hidden="false" customHeight="false" outlineLevel="0" collapsed="false">
      <c r="A86" s="25" t="s">
        <v>10</v>
      </c>
      <c r="B86" s="7" t="s">
        <v>233</v>
      </c>
      <c r="C86" s="5" t="s">
        <v>210</v>
      </c>
      <c r="D86" s="5" t="s">
        <v>56</v>
      </c>
      <c r="E86" s="5" t="s">
        <v>236</v>
      </c>
      <c r="F86" s="5" t="s">
        <v>237</v>
      </c>
    </row>
    <row r="87" customFormat="false" ht="15" hidden="false" customHeight="false" outlineLevel="0" collapsed="false">
      <c r="A87" s="25" t="s">
        <v>10</v>
      </c>
      <c r="B87" s="7" t="s">
        <v>233</v>
      </c>
      <c r="C87" s="5" t="s">
        <v>107</v>
      </c>
      <c r="D87" s="5" t="s">
        <v>56</v>
      </c>
      <c r="E87" s="5" t="s">
        <v>134</v>
      </c>
      <c r="F87" s="5" t="s">
        <v>238</v>
      </c>
    </row>
    <row r="88" customFormat="false" ht="15" hidden="false" customHeight="false" outlineLevel="0" collapsed="false">
      <c r="A88" s="25" t="s">
        <v>10</v>
      </c>
      <c r="B88" s="7" t="s">
        <v>233</v>
      </c>
      <c r="C88" s="5" t="s">
        <v>239</v>
      </c>
      <c r="D88" s="5" t="s">
        <v>103</v>
      </c>
      <c r="E88" s="5" t="s">
        <v>68</v>
      </c>
      <c r="F88" s="5" t="s">
        <v>240</v>
      </c>
    </row>
    <row r="89" customFormat="false" ht="15" hidden="false" customHeight="false" outlineLevel="0" collapsed="false">
      <c r="A89" s="25" t="s">
        <v>10</v>
      </c>
      <c r="B89" s="7" t="s">
        <v>233</v>
      </c>
      <c r="C89" s="5" t="s">
        <v>241</v>
      </c>
      <c r="D89" s="5" t="s">
        <v>222</v>
      </c>
      <c r="E89" s="5" t="s">
        <v>68</v>
      </c>
      <c r="F89" s="5" t="s">
        <v>242</v>
      </c>
    </row>
    <row r="90" customFormat="false" ht="15" hidden="false" customHeight="false" outlineLevel="0" collapsed="false">
      <c r="A90" s="25" t="s">
        <v>10</v>
      </c>
      <c r="B90" s="7" t="s">
        <v>233</v>
      </c>
      <c r="C90" s="5" t="s">
        <v>243</v>
      </c>
      <c r="D90" s="5" t="s">
        <v>222</v>
      </c>
      <c r="E90" s="5" t="s">
        <v>72</v>
      </c>
      <c r="F90" s="5" t="s">
        <v>244</v>
      </c>
    </row>
    <row r="91" customFormat="false" ht="15" hidden="false" customHeight="false" outlineLevel="0" collapsed="false">
      <c r="A91" s="25" t="s">
        <v>10</v>
      </c>
      <c r="B91" s="7" t="s">
        <v>233</v>
      </c>
      <c r="C91" s="5" t="s">
        <v>74</v>
      </c>
      <c r="D91" s="5" t="s">
        <v>64</v>
      </c>
      <c r="E91" s="5" t="s">
        <v>126</v>
      </c>
      <c r="F91" s="5" t="s">
        <v>245</v>
      </c>
    </row>
    <row r="92" customFormat="false" ht="15" hidden="false" customHeight="false" outlineLevel="0" collapsed="false">
      <c r="A92" s="25" t="s">
        <v>10</v>
      </c>
      <c r="B92" s="7" t="s">
        <v>233</v>
      </c>
      <c r="C92" s="5" t="s">
        <v>246</v>
      </c>
      <c r="D92" s="5" t="s">
        <v>91</v>
      </c>
      <c r="E92" s="5" t="s">
        <v>72</v>
      </c>
      <c r="F92" s="5" t="s">
        <v>247</v>
      </c>
    </row>
    <row r="93" customFormat="false" ht="15" hidden="false" customHeight="false" outlineLevel="0" collapsed="false">
      <c r="A93" s="23" t="s">
        <v>10</v>
      </c>
      <c r="B93" s="24" t="s">
        <v>248</v>
      </c>
      <c r="C93" s="21" t="s">
        <v>249</v>
      </c>
      <c r="D93" s="21" t="s">
        <v>56</v>
      </c>
      <c r="E93" s="21" t="s">
        <v>57</v>
      </c>
      <c r="F93" s="21" t="s">
        <v>250</v>
      </c>
    </row>
    <row r="94" customFormat="false" ht="23.85" hidden="false" customHeight="false" outlineLevel="0" collapsed="false">
      <c r="A94" s="25" t="s">
        <v>10</v>
      </c>
      <c r="B94" s="7" t="s">
        <v>248</v>
      </c>
      <c r="C94" s="5" t="s">
        <v>234</v>
      </c>
      <c r="D94" s="5" t="s">
        <v>56</v>
      </c>
      <c r="E94" s="5" t="s">
        <v>251</v>
      </c>
      <c r="F94" s="5" t="s">
        <v>252</v>
      </c>
    </row>
    <row r="95" customFormat="false" ht="15" hidden="false" customHeight="false" outlineLevel="0" collapsed="false">
      <c r="A95" s="25" t="s">
        <v>10</v>
      </c>
      <c r="B95" s="7" t="s">
        <v>248</v>
      </c>
      <c r="C95" s="5" t="s">
        <v>253</v>
      </c>
      <c r="D95" s="5" t="s">
        <v>56</v>
      </c>
      <c r="E95" s="5" t="s">
        <v>134</v>
      </c>
      <c r="F95" s="5" t="s">
        <v>254</v>
      </c>
    </row>
    <row r="96" customFormat="false" ht="15" hidden="false" customHeight="false" outlineLevel="0" collapsed="false">
      <c r="A96" s="25" t="s">
        <v>10</v>
      </c>
      <c r="B96" s="7" t="s">
        <v>248</v>
      </c>
      <c r="C96" s="5" t="s">
        <v>255</v>
      </c>
      <c r="D96" s="5" t="s">
        <v>103</v>
      </c>
      <c r="E96" s="5" t="s">
        <v>68</v>
      </c>
      <c r="F96" s="5" t="s">
        <v>256</v>
      </c>
    </row>
    <row r="97" customFormat="false" ht="15" hidden="false" customHeight="false" outlineLevel="0" collapsed="false">
      <c r="A97" s="25" t="s">
        <v>10</v>
      </c>
      <c r="B97" s="7" t="s">
        <v>248</v>
      </c>
      <c r="C97" s="5" t="s">
        <v>257</v>
      </c>
      <c r="D97" s="5" t="s">
        <v>79</v>
      </c>
      <c r="E97" s="5" t="s">
        <v>80</v>
      </c>
      <c r="F97" s="5" t="s">
        <v>258</v>
      </c>
    </row>
    <row r="98" customFormat="false" ht="15" hidden="false" customHeight="false" outlineLevel="0" collapsed="false">
      <c r="A98" s="25" t="s">
        <v>10</v>
      </c>
      <c r="B98" s="7" t="s">
        <v>248</v>
      </c>
      <c r="C98" s="5" t="s">
        <v>259</v>
      </c>
      <c r="D98" s="5" t="s">
        <v>91</v>
      </c>
      <c r="E98" s="5" t="s">
        <v>72</v>
      </c>
      <c r="F98" s="5" t="s">
        <v>260</v>
      </c>
    </row>
    <row r="99" customFormat="false" ht="15" hidden="false" customHeight="false" outlineLevel="0" collapsed="false">
      <c r="A99" s="23" t="s">
        <v>10</v>
      </c>
      <c r="B99" s="24" t="s">
        <v>261</v>
      </c>
      <c r="C99" s="21" t="s">
        <v>262</v>
      </c>
      <c r="D99" s="21" t="s">
        <v>56</v>
      </c>
      <c r="E99" s="21" t="s">
        <v>57</v>
      </c>
      <c r="F99" s="21" t="s">
        <v>263</v>
      </c>
    </row>
    <row r="100" customFormat="false" ht="15" hidden="false" customHeight="false" outlineLevel="0" collapsed="false">
      <c r="A100" s="25" t="s">
        <v>10</v>
      </c>
      <c r="B100" s="7" t="s">
        <v>261</v>
      </c>
      <c r="C100" s="5" t="s">
        <v>210</v>
      </c>
      <c r="D100" s="5" t="s">
        <v>56</v>
      </c>
      <c r="E100" s="5" t="s">
        <v>236</v>
      </c>
      <c r="F100" s="5" t="s">
        <v>264</v>
      </c>
    </row>
    <row r="101" customFormat="false" ht="15" hidden="false" customHeight="false" outlineLevel="0" collapsed="false">
      <c r="A101" s="25" t="s">
        <v>10</v>
      </c>
      <c r="B101" s="7" t="s">
        <v>261</v>
      </c>
      <c r="C101" s="5" t="s">
        <v>202</v>
      </c>
      <c r="D101" s="5" t="s">
        <v>56</v>
      </c>
      <c r="E101" s="5" t="s">
        <v>265</v>
      </c>
      <c r="F101" s="5" t="s">
        <v>266</v>
      </c>
    </row>
    <row r="102" customFormat="false" ht="15" hidden="false" customHeight="false" outlineLevel="0" collapsed="false">
      <c r="A102" s="25" t="s">
        <v>10</v>
      </c>
      <c r="B102" s="7" t="s">
        <v>261</v>
      </c>
      <c r="C102" s="5" t="s">
        <v>267</v>
      </c>
      <c r="D102" s="5" t="s">
        <v>56</v>
      </c>
      <c r="E102" s="5" t="s">
        <v>134</v>
      </c>
      <c r="F102" s="5" t="s">
        <v>268</v>
      </c>
    </row>
    <row r="103" customFormat="false" ht="15" hidden="false" customHeight="false" outlineLevel="0" collapsed="false">
      <c r="A103" s="25" t="s">
        <v>10</v>
      </c>
      <c r="B103" s="7" t="s">
        <v>261</v>
      </c>
      <c r="C103" s="5" t="s">
        <v>269</v>
      </c>
      <c r="D103" s="5" t="s">
        <v>143</v>
      </c>
      <c r="E103" s="5" t="s">
        <v>68</v>
      </c>
      <c r="F103" s="5" t="s">
        <v>270</v>
      </c>
    </row>
    <row r="104" customFormat="false" ht="15" hidden="false" customHeight="false" outlineLevel="0" collapsed="false">
      <c r="A104" s="25" t="s">
        <v>10</v>
      </c>
      <c r="B104" s="7" t="s">
        <v>261</v>
      </c>
      <c r="C104" s="5" t="s">
        <v>271</v>
      </c>
      <c r="D104" s="5" t="s">
        <v>91</v>
      </c>
      <c r="E104" s="5" t="s">
        <v>72</v>
      </c>
      <c r="F104" s="5" t="s">
        <v>272</v>
      </c>
    </row>
    <row r="105" customFormat="false" ht="15" hidden="false" customHeight="false" outlineLevel="0" collapsed="false">
      <c r="A105" s="25" t="s">
        <v>10</v>
      </c>
      <c r="B105" s="7" t="s">
        <v>261</v>
      </c>
      <c r="C105" s="5" t="s">
        <v>273</v>
      </c>
      <c r="D105" s="5" t="s">
        <v>91</v>
      </c>
      <c r="E105" s="5" t="s">
        <v>72</v>
      </c>
      <c r="F105" s="5" t="s">
        <v>274</v>
      </c>
    </row>
    <row r="106" customFormat="false" ht="15" hidden="false" customHeight="false" outlineLevel="0" collapsed="false">
      <c r="A106" s="25" t="s">
        <v>10</v>
      </c>
      <c r="B106" s="7" t="s">
        <v>261</v>
      </c>
      <c r="C106" s="5" t="s">
        <v>275</v>
      </c>
      <c r="D106" s="5" t="s">
        <v>222</v>
      </c>
      <c r="E106" s="5" t="s">
        <v>68</v>
      </c>
      <c r="F106" s="5" t="s">
        <v>276</v>
      </c>
    </row>
    <row r="107" customFormat="false" ht="15" hidden="false" customHeight="false" outlineLevel="0" collapsed="false">
      <c r="A107" s="25" t="s">
        <v>10</v>
      </c>
      <c r="B107" s="7" t="s">
        <v>261</v>
      </c>
      <c r="C107" s="5" t="s">
        <v>277</v>
      </c>
      <c r="D107" s="5" t="s">
        <v>222</v>
      </c>
      <c r="E107" s="5" t="s">
        <v>72</v>
      </c>
      <c r="F107" s="5" t="s">
        <v>278</v>
      </c>
    </row>
    <row r="108" customFormat="false" ht="15" hidden="false" customHeight="false" outlineLevel="0" collapsed="false">
      <c r="A108" s="25" t="s">
        <v>10</v>
      </c>
      <c r="B108" s="7" t="s">
        <v>261</v>
      </c>
      <c r="C108" s="5" t="s">
        <v>74</v>
      </c>
      <c r="D108" s="5" t="s">
        <v>113</v>
      </c>
      <c r="E108" s="5" t="s">
        <v>279</v>
      </c>
      <c r="F108" s="5" t="s">
        <v>280</v>
      </c>
    </row>
    <row r="109" customFormat="false" ht="15" hidden="false" customHeight="false" outlineLevel="0" collapsed="false">
      <c r="A109" s="25" t="s">
        <v>10</v>
      </c>
      <c r="B109" s="7" t="s">
        <v>261</v>
      </c>
      <c r="C109" s="5" t="s">
        <v>281</v>
      </c>
      <c r="D109" s="5" t="s">
        <v>282</v>
      </c>
      <c r="E109" s="5" t="s">
        <v>72</v>
      </c>
      <c r="F109" s="5" t="s">
        <v>283</v>
      </c>
    </row>
    <row r="110" customFormat="false" ht="15" hidden="false" customHeight="false" outlineLevel="0" collapsed="false">
      <c r="A110" s="23" t="s">
        <v>10</v>
      </c>
      <c r="B110" s="24" t="s">
        <v>284</v>
      </c>
      <c r="C110" s="21" t="s">
        <v>262</v>
      </c>
      <c r="D110" s="21" t="s">
        <v>56</v>
      </c>
      <c r="E110" s="21" t="s">
        <v>285</v>
      </c>
      <c r="F110" s="21" t="s">
        <v>286</v>
      </c>
    </row>
    <row r="111" customFormat="false" ht="15" hidden="false" customHeight="false" outlineLevel="0" collapsed="false">
      <c r="A111" s="25" t="s">
        <v>10</v>
      </c>
      <c r="B111" s="7" t="s">
        <v>284</v>
      </c>
      <c r="C111" s="5" t="s">
        <v>107</v>
      </c>
      <c r="D111" s="5" t="s">
        <v>56</v>
      </c>
      <c r="E111" s="5" t="s">
        <v>167</v>
      </c>
      <c r="F111" s="5" t="s">
        <v>287</v>
      </c>
    </row>
    <row r="112" customFormat="false" ht="15" hidden="false" customHeight="false" outlineLevel="0" collapsed="false">
      <c r="A112" s="25" t="s">
        <v>10</v>
      </c>
      <c r="B112" s="7" t="s">
        <v>284</v>
      </c>
      <c r="C112" s="5" t="s">
        <v>288</v>
      </c>
      <c r="D112" s="5" t="s">
        <v>103</v>
      </c>
      <c r="E112" s="5" t="s">
        <v>68</v>
      </c>
      <c r="F112" s="5" t="s">
        <v>289</v>
      </c>
    </row>
    <row r="113" customFormat="false" ht="15" hidden="false" customHeight="false" outlineLevel="0" collapsed="false">
      <c r="A113" s="25" t="s">
        <v>10</v>
      </c>
      <c r="B113" s="7" t="s">
        <v>284</v>
      </c>
      <c r="C113" s="5" t="s">
        <v>290</v>
      </c>
      <c r="D113" s="5" t="s">
        <v>222</v>
      </c>
      <c r="E113" s="5" t="s">
        <v>68</v>
      </c>
      <c r="F113" s="5" t="s">
        <v>291</v>
      </c>
    </row>
    <row r="114" customFormat="false" ht="15" hidden="false" customHeight="false" outlineLevel="0" collapsed="false">
      <c r="A114" s="25" t="s">
        <v>10</v>
      </c>
      <c r="B114" s="7" t="s">
        <v>284</v>
      </c>
      <c r="C114" s="5" t="s">
        <v>292</v>
      </c>
      <c r="D114" s="5" t="s">
        <v>222</v>
      </c>
      <c r="E114" s="5" t="s">
        <v>72</v>
      </c>
      <c r="F114" s="5" t="s">
        <v>293</v>
      </c>
    </row>
    <row r="115" customFormat="false" ht="15" hidden="false" customHeight="false" outlineLevel="0" collapsed="false">
      <c r="A115" s="26" t="s">
        <v>13</v>
      </c>
      <c r="B115" s="27" t="s">
        <v>294</v>
      </c>
      <c r="C115" s="21" t="s">
        <v>295</v>
      </c>
      <c r="D115" s="21" t="s">
        <v>56</v>
      </c>
      <c r="E115" s="21" t="s">
        <v>57</v>
      </c>
      <c r="F115" s="21" t="s">
        <v>296</v>
      </c>
    </row>
    <row r="116" customFormat="false" ht="15" hidden="false" customHeight="false" outlineLevel="0" collapsed="false">
      <c r="A116" s="28" t="s">
        <v>13</v>
      </c>
      <c r="B116" s="8" t="s">
        <v>294</v>
      </c>
      <c r="C116" s="5" t="s">
        <v>55</v>
      </c>
      <c r="D116" s="5" t="s">
        <v>56</v>
      </c>
      <c r="E116" s="5" t="s">
        <v>85</v>
      </c>
      <c r="F116" s="5" t="s">
        <v>297</v>
      </c>
    </row>
    <row r="117" customFormat="false" ht="15" hidden="false" customHeight="false" outlineLevel="0" collapsed="false">
      <c r="A117" s="28" t="s">
        <v>13</v>
      </c>
      <c r="B117" s="8" t="s">
        <v>294</v>
      </c>
      <c r="C117" s="5" t="s">
        <v>298</v>
      </c>
      <c r="D117" s="5" t="s">
        <v>56</v>
      </c>
      <c r="E117" s="5" t="s">
        <v>134</v>
      </c>
      <c r="F117" s="5" t="s">
        <v>299</v>
      </c>
    </row>
    <row r="118" customFormat="false" ht="15" hidden="false" customHeight="false" outlineLevel="0" collapsed="false">
      <c r="A118" s="28" t="s">
        <v>13</v>
      </c>
      <c r="B118" s="8" t="s">
        <v>294</v>
      </c>
      <c r="C118" s="5" t="s">
        <v>269</v>
      </c>
      <c r="D118" s="5" t="s">
        <v>71</v>
      </c>
      <c r="E118" s="5" t="s">
        <v>68</v>
      </c>
      <c r="F118" s="5" t="s">
        <v>300</v>
      </c>
    </row>
    <row r="119" customFormat="false" ht="15" hidden="false" customHeight="false" outlineLevel="0" collapsed="false">
      <c r="A119" s="28" t="s">
        <v>13</v>
      </c>
      <c r="B119" s="8" t="s">
        <v>294</v>
      </c>
      <c r="C119" s="5" t="s">
        <v>63</v>
      </c>
      <c r="D119" s="5" t="s">
        <v>113</v>
      </c>
      <c r="E119" s="5" t="s">
        <v>61</v>
      </c>
      <c r="F119" s="5" t="s">
        <v>301</v>
      </c>
    </row>
    <row r="120" customFormat="false" ht="15" hidden="false" customHeight="false" outlineLevel="0" collapsed="false">
      <c r="A120" s="28" t="s">
        <v>13</v>
      </c>
      <c r="B120" s="8" t="s">
        <v>294</v>
      </c>
      <c r="C120" s="5" t="s">
        <v>90</v>
      </c>
      <c r="D120" s="5" t="s">
        <v>91</v>
      </c>
      <c r="E120" s="5" t="s">
        <v>72</v>
      </c>
      <c r="F120" s="5" t="s">
        <v>302</v>
      </c>
    </row>
    <row r="121" customFormat="false" ht="15" hidden="false" customHeight="false" outlineLevel="0" collapsed="false">
      <c r="A121" s="28" t="s">
        <v>13</v>
      </c>
      <c r="B121" s="8" t="s">
        <v>294</v>
      </c>
      <c r="C121" s="5" t="s">
        <v>303</v>
      </c>
      <c r="D121" s="5" t="s">
        <v>79</v>
      </c>
      <c r="E121" s="5" t="s">
        <v>72</v>
      </c>
      <c r="F121" s="5" t="s">
        <v>304</v>
      </c>
    </row>
    <row r="122" customFormat="false" ht="15" hidden="false" customHeight="false" outlineLevel="0" collapsed="false">
      <c r="A122" s="28" t="s">
        <v>13</v>
      </c>
      <c r="B122" s="8" t="s">
        <v>294</v>
      </c>
      <c r="C122" s="5" t="s">
        <v>305</v>
      </c>
      <c r="D122" s="5" t="s">
        <v>79</v>
      </c>
      <c r="E122" s="5" t="s">
        <v>68</v>
      </c>
      <c r="F122" s="5" t="s">
        <v>306</v>
      </c>
    </row>
    <row r="123" customFormat="false" ht="15" hidden="false" customHeight="false" outlineLevel="0" collapsed="false">
      <c r="A123" s="28" t="s">
        <v>13</v>
      </c>
      <c r="B123" s="8" t="s">
        <v>294</v>
      </c>
      <c r="C123" s="5" t="s">
        <v>307</v>
      </c>
      <c r="D123" s="5" t="s">
        <v>79</v>
      </c>
      <c r="E123" s="5" t="s">
        <v>68</v>
      </c>
      <c r="F123" s="5" t="s">
        <v>308</v>
      </c>
    </row>
    <row r="124" customFormat="false" ht="15" hidden="false" customHeight="false" outlineLevel="0" collapsed="false">
      <c r="A124" s="28" t="s">
        <v>13</v>
      </c>
      <c r="B124" s="8" t="s">
        <v>294</v>
      </c>
      <c r="C124" s="5" t="s">
        <v>74</v>
      </c>
      <c r="D124" s="5" t="s">
        <v>64</v>
      </c>
      <c r="E124" s="5" t="s">
        <v>309</v>
      </c>
      <c r="F124" s="5" t="s">
        <v>310</v>
      </c>
    </row>
    <row r="125" customFormat="false" ht="15" hidden="false" customHeight="false" outlineLevel="0" collapsed="false">
      <c r="A125" s="28" t="s">
        <v>13</v>
      </c>
      <c r="B125" s="8" t="s">
        <v>294</v>
      </c>
      <c r="C125" s="5" t="s">
        <v>311</v>
      </c>
      <c r="D125" s="5" t="s">
        <v>282</v>
      </c>
      <c r="E125" s="5" t="s">
        <v>72</v>
      </c>
      <c r="F125" s="5" t="s">
        <v>312</v>
      </c>
    </row>
    <row r="126" customFormat="false" ht="15" hidden="false" customHeight="false" outlineLevel="0" collapsed="false">
      <c r="A126" s="26" t="s">
        <v>13</v>
      </c>
      <c r="B126" s="27" t="s">
        <v>313</v>
      </c>
      <c r="C126" s="21" t="s">
        <v>314</v>
      </c>
      <c r="D126" s="21" t="s">
        <v>56</v>
      </c>
      <c r="E126" s="21" t="s">
        <v>57</v>
      </c>
      <c r="F126" s="21" t="s">
        <v>315</v>
      </c>
    </row>
    <row r="127" customFormat="false" ht="15" hidden="false" customHeight="false" outlineLevel="0" collapsed="false">
      <c r="A127" s="28" t="s">
        <v>13</v>
      </c>
      <c r="B127" s="8" t="s">
        <v>313</v>
      </c>
      <c r="C127" s="5" t="s">
        <v>295</v>
      </c>
      <c r="D127" s="5" t="s">
        <v>56</v>
      </c>
      <c r="E127" s="5" t="s">
        <v>316</v>
      </c>
      <c r="F127" s="5" t="s">
        <v>317</v>
      </c>
    </row>
    <row r="128" customFormat="false" ht="15" hidden="false" customHeight="false" outlineLevel="0" collapsed="false">
      <c r="A128" s="28" t="s">
        <v>13</v>
      </c>
      <c r="B128" s="8" t="s">
        <v>313</v>
      </c>
      <c r="C128" s="5" t="s">
        <v>59</v>
      </c>
      <c r="D128" s="5" t="s">
        <v>116</v>
      </c>
      <c r="E128" s="5" t="s">
        <v>68</v>
      </c>
      <c r="F128" s="5" t="s">
        <v>318</v>
      </c>
    </row>
    <row r="129" customFormat="false" ht="15" hidden="false" customHeight="false" outlineLevel="0" collapsed="false">
      <c r="A129" s="28" t="s">
        <v>13</v>
      </c>
      <c r="B129" s="8" t="s">
        <v>313</v>
      </c>
      <c r="C129" s="5" t="s">
        <v>319</v>
      </c>
      <c r="D129" s="5" t="s">
        <v>320</v>
      </c>
      <c r="E129" s="5" t="s">
        <v>68</v>
      </c>
      <c r="F129" s="5" t="s">
        <v>321</v>
      </c>
    </row>
    <row r="130" customFormat="false" ht="15" hidden="false" customHeight="false" outlineLevel="0" collapsed="false">
      <c r="A130" s="28" t="s">
        <v>13</v>
      </c>
      <c r="B130" s="8" t="s">
        <v>313</v>
      </c>
      <c r="C130" s="5" t="s">
        <v>275</v>
      </c>
      <c r="D130" s="5" t="s">
        <v>79</v>
      </c>
      <c r="E130" s="5" t="s">
        <v>68</v>
      </c>
      <c r="F130" s="5" t="s">
        <v>322</v>
      </c>
    </row>
    <row r="131" customFormat="false" ht="15" hidden="false" customHeight="false" outlineLevel="0" collapsed="false">
      <c r="A131" s="28" t="s">
        <v>13</v>
      </c>
      <c r="B131" s="8" t="s">
        <v>313</v>
      </c>
      <c r="C131" s="5" t="s">
        <v>277</v>
      </c>
      <c r="D131" s="5" t="s">
        <v>79</v>
      </c>
      <c r="E131" s="5" t="s">
        <v>68</v>
      </c>
      <c r="F131" s="5" t="s">
        <v>323</v>
      </c>
    </row>
    <row r="132" customFormat="false" ht="15" hidden="false" customHeight="false" outlineLevel="0" collapsed="false">
      <c r="A132" s="28" t="s">
        <v>13</v>
      </c>
      <c r="B132" s="8" t="s">
        <v>313</v>
      </c>
      <c r="C132" s="5" t="s">
        <v>74</v>
      </c>
      <c r="D132" s="5" t="s">
        <v>64</v>
      </c>
      <c r="E132" s="5" t="s">
        <v>324</v>
      </c>
      <c r="F132" s="5" t="s">
        <v>325</v>
      </c>
    </row>
    <row r="133" customFormat="false" ht="15" hidden="false" customHeight="false" outlineLevel="0" collapsed="false">
      <c r="A133" s="26" t="s">
        <v>13</v>
      </c>
      <c r="B133" s="27" t="s">
        <v>326</v>
      </c>
      <c r="C133" s="21" t="s">
        <v>327</v>
      </c>
      <c r="D133" s="21" t="s">
        <v>56</v>
      </c>
      <c r="E133" s="21" t="s">
        <v>57</v>
      </c>
      <c r="F133" s="21" t="s">
        <v>328</v>
      </c>
    </row>
    <row r="134" customFormat="false" ht="15" hidden="false" customHeight="false" outlineLevel="0" collapsed="false">
      <c r="A134" s="28" t="s">
        <v>13</v>
      </c>
      <c r="B134" s="8" t="s">
        <v>326</v>
      </c>
      <c r="C134" s="5" t="s">
        <v>59</v>
      </c>
      <c r="D134" s="5" t="s">
        <v>87</v>
      </c>
      <c r="E134" s="5" t="s">
        <v>68</v>
      </c>
      <c r="F134" s="5" t="s">
        <v>329</v>
      </c>
    </row>
    <row r="135" customFormat="false" ht="15" hidden="false" customHeight="false" outlineLevel="0" collapsed="false">
      <c r="A135" s="28" t="s">
        <v>13</v>
      </c>
      <c r="B135" s="8" t="s">
        <v>326</v>
      </c>
      <c r="C135" s="5" t="s">
        <v>90</v>
      </c>
      <c r="D135" s="5" t="s">
        <v>91</v>
      </c>
      <c r="E135" s="5" t="s">
        <v>72</v>
      </c>
      <c r="F135" s="5" t="s">
        <v>330</v>
      </c>
    </row>
    <row r="136" customFormat="false" ht="15" hidden="false" customHeight="false" outlineLevel="0" collapsed="false">
      <c r="A136" s="28" t="s">
        <v>13</v>
      </c>
      <c r="B136" s="8" t="s">
        <v>326</v>
      </c>
      <c r="C136" s="5" t="s">
        <v>331</v>
      </c>
      <c r="D136" s="5" t="s">
        <v>113</v>
      </c>
      <c r="E136" s="5" t="s">
        <v>68</v>
      </c>
      <c r="F136" s="5" t="s">
        <v>332</v>
      </c>
    </row>
    <row r="137" customFormat="false" ht="15" hidden="false" customHeight="false" outlineLevel="0" collapsed="false">
      <c r="A137" s="28" t="s">
        <v>13</v>
      </c>
      <c r="B137" s="8" t="s">
        <v>326</v>
      </c>
      <c r="C137" s="5" t="s">
        <v>333</v>
      </c>
      <c r="D137" s="5" t="s">
        <v>75</v>
      </c>
      <c r="E137" s="5" t="s">
        <v>76</v>
      </c>
      <c r="F137" s="5" t="s">
        <v>334</v>
      </c>
    </row>
    <row r="138" customFormat="false" ht="15" hidden="false" customHeight="false" outlineLevel="0" collapsed="false">
      <c r="A138" s="26" t="s">
        <v>13</v>
      </c>
      <c r="B138" s="27" t="s">
        <v>335</v>
      </c>
      <c r="C138" s="21" t="s">
        <v>295</v>
      </c>
      <c r="D138" s="21" t="s">
        <v>56</v>
      </c>
      <c r="E138" s="21" t="s">
        <v>336</v>
      </c>
      <c r="F138" s="21" t="s">
        <v>337</v>
      </c>
    </row>
    <row r="139" customFormat="false" ht="15" hidden="false" customHeight="false" outlineLevel="0" collapsed="false">
      <c r="A139" s="28" t="s">
        <v>13</v>
      </c>
      <c r="B139" s="8" t="s">
        <v>335</v>
      </c>
      <c r="C139" s="5" t="s">
        <v>327</v>
      </c>
      <c r="D139" s="5" t="s">
        <v>56</v>
      </c>
      <c r="E139" s="5" t="s">
        <v>338</v>
      </c>
      <c r="F139" s="5" t="s">
        <v>339</v>
      </c>
    </row>
    <row r="140" customFormat="false" ht="15" hidden="false" customHeight="false" outlineLevel="0" collapsed="false">
      <c r="A140" s="28" t="s">
        <v>13</v>
      </c>
      <c r="B140" s="8" t="s">
        <v>335</v>
      </c>
      <c r="C140" s="5" t="s">
        <v>340</v>
      </c>
      <c r="D140" s="5" t="s">
        <v>91</v>
      </c>
      <c r="E140" s="5" t="s">
        <v>72</v>
      </c>
      <c r="F140" s="5" t="s">
        <v>341</v>
      </c>
    </row>
    <row r="141" customFormat="false" ht="15" hidden="false" customHeight="false" outlineLevel="0" collapsed="false">
      <c r="A141" s="28" t="s">
        <v>13</v>
      </c>
      <c r="B141" s="8" t="s">
        <v>335</v>
      </c>
      <c r="C141" s="5" t="s">
        <v>319</v>
      </c>
      <c r="D141" s="5" t="s">
        <v>320</v>
      </c>
      <c r="E141" s="5" t="s">
        <v>68</v>
      </c>
      <c r="F141" s="5" t="s">
        <v>342</v>
      </c>
    </row>
    <row r="142" customFormat="false" ht="15" hidden="false" customHeight="false" outlineLevel="0" collapsed="false">
      <c r="A142" s="26" t="s">
        <v>13</v>
      </c>
      <c r="B142" s="27" t="s">
        <v>343</v>
      </c>
      <c r="C142" s="21" t="s">
        <v>344</v>
      </c>
      <c r="D142" s="21" t="s">
        <v>56</v>
      </c>
      <c r="E142" s="21" t="s">
        <v>57</v>
      </c>
      <c r="F142" s="21" t="s">
        <v>345</v>
      </c>
    </row>
    <row r="143" customFormat="false" ht="15" hidden="false" customHeight="false" outlineLevel="0" collapsed="false">
      <c r="A143" s="28" t="s">
        <v>13</v>
      </c>
      <c r="B143" s="8" t="s">
        <v>343</v>
      </c>
      <c r="C143" s="5" t="s">
        <v>295</v>
      </c>
      <c r="D143" s="5" t="s">
        <v>56</v>
      </c>
      <c r="E143" s="5" t="s">
        <v>316</v>
      </c>
      <c r="F143" s="5" t="s">
        <v>346</v>
      </c>
    </row>
    <row r="144" customFormat="false" ht="15" hidden="false" customHeight="false" outlineLevel="0" collapsed="false">
      <c r="A144" s="28" t="s">
        <v>13</v>
      </c>
      <c r="B144" s="8" t="s">
        <v>343</v>
      </c>
      <c r="C144" s="5" t="s">
        <v>347</v>
      </c>
      <c r="D144" s="5" t="s">
        <v>56</v>
      </c>
      <c r="E144" s="5" t="s">
        <v>134</v>
      </c>
      <c r="F144" s="5" t="s">
        <v>348</v>
      </c>
    </row>
    <row r="145" customFormat="false" ht="15" hidden="false" customHeight="false" outlineLevel="0" collapsed="false">
      <c r="A145" s="28" t="s">
        <v>13</v>
      </c>
      <c r="B145" s="8" t="s">
        <v>343</v>
      </c>
      <c r="C145" s="5" t="s">
        <v>262</v>
      </c>
      <c r="D145" s="5" t="s">
        <v>56</v>
      </c>
      <c r="E145" s="5" t="s">
        <v>349</v>
      </c>
      <c r="F145" s="5" t="s">
        <v>350</v>
      </c>
    </row>
    <row r="146" customFormat="false" ht="15" hidden="false" customHeight="false" outlineLevel="0" collapsed="false">
      <c r="A146" s="28" t="s">
        <v>13</v>
      </c>
      <c r="B146" s="8" t="s">
        <v>343</v>
      </c>
      <c r="C146" s="5" t="s">
        <v>351</v>
      </c>
      <c r="D146" s="5" t="s">
        <v>143</v>
      </c>
      <c r="E146" s="5" t="s">
        <v>68</v>
      </c>
      <c r="F146" s="5" t="s">
        <v>352</v>
      </c>
    </row>
    <row r="147" customFormat="false" ht="15" hidden="false" customHeight="false" outlineLevel="0" collapsed="false">
      <c r="A147" s="28" t="s">
        <v>13</v>
      </c>
      <c r="B147" s="8" t="s">
        <v>343</v>
      </c>
      <c r="C147" s="5" t="s">
        <v>353</v>
      </c>
      <c r="D147" s="5" t="s">
        <v>91</v>
      </c>
      <c r="E147" s="5" t="s">
        <v>72</v>
      </c>
      <c r="F147" s="5" t="s">
        <v>354</v>
      </c>
    </row>
    <row r="148" customFormat="false" ht="15" hidden="false" customHeight="false" outlineLevel="0" collapsed="false">
      <c r="A148" s="28" t="s">
        <v>13</v>
      </c>
      <c r="B148" s="8" t="s">
        <v>343</v>
      </c>
      <c r="C148" s="5" t="s">
        <v>355</v>
      </c>
      <c r="D148" s="5" t="s">
        <v>79</v>
      </c>
      <c r="E148" s="5" t="s">
        <v>72</v>
      </c>
      <c r="F148" s="5" t="s">
        <v>356</v>
      </c>
    </row>
    <row r="149" customFormat="false" ht="15" hidden="false" customHeight="false" outlineLevel="0" collapsed="false">
      <c r="A149" s="28" t="s">
        <v>13</v>
      </c>
      <c r="B149" s="8" t="s">
        <v>343</v>
      </c>
      <c r="C149" s="5" t="s">
        <v>74</v>
      </c>
      <c r="D149" s="5" t="s">
        <v>357</v>
      </c>
      <c r="E149" s="5" t="s">
        <v>309</v>
      </c>
      <c r="F149" s="5" t="s">
        <v>358</v>
      </c>
    </row>
    <row r="150" customFormat="false" ht="15" hidden="false" customHeight="false" outlineLevel="0" collapsed="false">
      <c r="A150" s="28" t="s">
        <v>13</v>
      </c>
      <c r="B150" s="8" t="s">
        <v>343</v>
      </c>
      <c r="C150" s="5" t="s">
        <v>246</v>
      </c>
      <c r="D150" s="5" t="s">
        <v>91</v>
      </c>
      <c r="E150" s="5" t="s">
        <v>72</v>
      </c>
      <c r="F150" s="5" t="s">
        <v>359</v>
      </c>
    </row>
    <row r="151" customFormat="false" ht="15" hidden="false" customHeight="false" outlineLevel="0" collapsed="false">
      <c r="A151" s="26" t="s">
        <v>13</v>
      </c>
      <c r="B151" s="27" t="s">
        <v>360</v>
      </c>
      <c r="C151" s="21" t="s">
        <v>361</v>
      </c>
      <c r="D151" s="21" t="s">
        <v>56</v>
      </c>
      <c r="E151" s="21" t="s">
        <v>57</v>
      </c>
      <c r="F151" s="21" t="s">
        <v>362</v>
      </c>
    </row>
    <row r="152" customFormat="false" ht="15" hidden="false" customHeight="false" outlineLevel="0" collapsed="false">
      <c r="A152" s="28" t="s">
        <v>13</v>
      </c>
      <c r="B152" s="8" t="s">
        <v>360</v>
      </c>
      <c r="C152" s="5" t="s">
        <v>344</v>
      </c>
      <c r="D152" s="5" t="s">
        <v>56</v>
      </c>
      <c r="E152" s="5" t="s">
        <v>363</v>
      </c>
      <c r="F152" s="5" t="s">
        <v>364</v>
      </c>
    </row>
    <row r="153" customFormat="false" ht="23.85" hidden="false" customHeight="false" outlineLevel="0" collapsed="false">
      <c r="A153" s="28" t="s">
        <v>13</v>
      </c>
      <c r="B153" s="8" t="s">
        <v>360</v>
      </c>
      <c r="C153" s="5" t="s">
        <v>327</v>
      </c>
      <c r="D153" s="5" t="s">
        <v>56</v>
      </c>
      <c r="E153" s="5" t="s">
        <v>365</v>
      </c>
      <c r="F153" s="5" t="s">
        <v>366</v>
      </c>
    </row>
    <row r="154" customFormat="false" ht="15" hidden="false" customHeight="false" outlineLevel="0" collapsed="false">
      <c r="A154" s="28" t="s">
        <v>13</v>
      </c>
      <c r="B154" s="8" t="s">
        <v>360</v>
      </c>
      <c r="C154" s="5" t="s">
        <v>367</v>
      </c>
      <c r="D154" s="5" t="s">
        <v>143</v>
      </c>
      <c r="E154" s="5" t="s">
        <v>68</v>
      </c>
      <c r="F154" s="5" t="s">
        <v>368</v>
      </c>
    </row>
    <row r="155" customFormat="false" ht="15" hidden="false" customHeight="false" outlineLevel="0" collapsed="false">
      <c r="A155" s="28" t="s">
        <v>13</v>
      </c>
      <c r="B155" s="8" t="s">
        <v>360</v>
      </c>
      <c r="C155" s="5" t="s">
        <v>369</v>
      </c>
      <c r="D155" s="5" t="s">
        <v>370</v>
      </c>
      <c r="E155" s="5" t="s">
        <v>68</v>
      </c>
      <c r="F155" s="5" t="s">
        <v>371</v>
      </c>
    </row>
    <row r="156" customFormat="false" ht="15" hidden="false" customHeight="false" outlineLevel="0" collapsed="false">
      <c r="A156" s="28" t="s">
        <v>13</v>
      </c>
      <c r="B156" s="8" t="s">
        <v>360</v>
      </c>
      <c r="C156" s="5" t="s">
        <v>372</v>
      </c>
      <c r="D156" s="5" t="s">
        <v>116</v>
      </c>
      <c r="E156" s="5" t="s">
        <v>68</v>
      </c>
      <c r="F156" s="5" t="s">
        <v>373</v>
      </c>
    </row>
    <row r="157" customFormat="false" ht="15" hidden="false" customHeight="false" outlineLevel="0" collapsed="false">
      <c r="A157" s="28" t="s">
        <v>13</v>
      </c>
      <c r="B157" s="8" t="s">
        <v>360</v>
      </c>
      <c r="C157" s="5" t="s">
        <v>374</v>
      </c>
      <c r="D157" s="5" t="s">
        <v>56</v>
      </c>
      <c r="E157" s="5" t="s">
        <v>68</v>
      </c>
      <c r="F157" s="5" t="s">
        <v>375</v>
      </c>
    </row>
    <row r="158" customFormat="false" ht="15" hidden="false" customHeight="false" outlineLevel="0" collapsed="false">
      <c r="A158" s="28" t="s">
        <v>13</v>
      </c>
      <c r="B158" s="8" t="s">
        <v>360</v>
      </c>
      <c r="C158" s="5" t="s">
        <v>376</v>
      </c>
      <c r="D158" s="5" t="s">
        <v>56</v>
      </c>
      <c r="E158" s="5" t="s">
        <v>134</v>
      </c>
      <c r="F158" s="5" t="s">
        <v>377</v>
      </c>
    </row>
    <row r="159" customFormat="false" ht="15" hidden="false" customHeight="false" outlineLevel="0" collapsed="false">
      <c r="A159" s="28" t="s">
        <v>13</v>
      </c>
      <c r="B159" s="8" t="s">
        <v>360</v>
      </c>
      <c r="C159" s="5" t="s">
        <v>378</v>
      </c>
      <c r="D159" s="5" t="s">
        <v>79</v>
      </c>
      <c r="E159" s="5" t="s">
        <v>80</v>
      </c>
      <c r="F159" s="5" t="s">
        <v>379</v>
      </c>
    </row>
    <row r="160" customFormat="false" ht="15" hidden="false" customHeight="false" outlineLevel="0" collapsed="false">
      <c r="A160" s="26" t="s">
        <v>13</v>
      </c>
      <c r="B160" s="27" t="s">
        <v>380</v>
      </c>
      <c r="C160" s="21" t="s">
        <v>381</v>
      </c>
      <c r="D160" s="21" t="s">
        <v>56</v>
      </c>
      <c r="E160" s="21" t="s">
        <v>57</v>
      </c>
      <c r="F160" s="21" t="s">
        <v>382</v>
      </c>
    </row>
    <row r="161" customFormat="false" ht="15" hidden="false" customHeight="false" outlineLevel="0" collapsed="false">
      <c r="A161" s="28" t="s">
        <v>13</v>
      </c>
      <c r="B161" s="8" t="s">
        <v>380</v>
      </c>
      <c r="C161" s="5" t="s">
        <v>344</v>
      </c>
      <c r="D161" s="5" t="s">
        <v>56</v>
      </c>
      <c r="E161" s="5" t="s">
        <v>363</v>
      </c>
      <c r="F161" s="5" t="s">
        <v>383</v>
      </c>
    </row>
    <row r="162" customFormat="false" ht="15" hidden="false" customHeight="false" outlineLevel="0" collapsed="false">
      <c r="A162" s="28" t="s">
        <v>13</v>
      </c>
      <c r="B162" s="8" t="s">
        <v>380</v>
      </c>
      <c r="C162" s="5" t="s">
        <v>253</v>
      </c>
      <c r="D162" s="5" t="s">
        <v>56</v>
      </c>
      <c r="E162" s="5" t="s">
        <v>134</v>
      </c>
      <c r="F162" s="5" t="s">
        <v>384</v>
      </c>
    </row>
    <row r="163" customFormat="false" ht="15" hidden="false" customHeight="false" outlineLevel="0" collapsed="false">
      <c r="A163" s="28" t="s">
        <v>13</v>
      </c>
      <c r="B163" s="8" t="s">
        <v>380</v>
      </c>
      <c r="C163" s="5" t="s">
        <v>385</v>
      </c>
      <c r="D163" s="5" t="s">
        <v>357</v>
      </c>
      <c r="E163" s="5" t="s">
        <v>72</v>
      </c>
      <c r="F163" s="5" t="s">
        <v>386</v>
      </c>
    </row>
    <row r="164" customFormat="false" ht="15" hidden="false" customHeight="false" outlineLevel="0" collapsed="false">
      <c r="A164" s="28" t="s">
        <v>13</v>
      </c>
      <c r="B164" s="8" t="s">
        <v>380</v>
      </c>
      <c r="C164" s="5" t="s">
        <v>387</v>
      </c>
      <c r="D164" s="5" t="s">
        <v>357</v>
      </c>
      <c r="E164" s="5" t="s">
        <v>68</v>
      </c>
      <c r="F164" s="5" t="s">
        <v>388</v>
      </c>
    </row>
    <row r="165" customFormat="false" ht="15" hidden="false" customHeight="false" outlineLevel="0" collapsed="false">
      <c r="A165" s="28" t="s">
        <v>13</v>
      </c>
      <c r="B165" s="8" t="s">
        <v>380</v>
      </c>
      <c r="C165" s="5" t="s">
        <v>389</v>
      </c>
      <c r="D165" s="5" t="s">
        <v>91</v>
      </c>
      <c r="E165" s="5" t="s">
        <v>72</v>
      </c>
      <c r="F165" s="5" t="s">
        <v>390</v>
      </c>
    </row>
    <row r="166" customFormat="false" ht="15" hidden="false" customHeight="false" outlineLevel="0" collapsed="false">
      <c r="A166" s="28" t="s">
        <v>13</v>
      </c>
      <c r="B166" s="8" t="s">
        <v>380</v>
      </c>
      <c r="C166" s="5" t="s">
        <v>257</v>
      </c>
      <c r="D166" s="5" t="s">
        <v>79</v>
      </c>
      <c r="E166" s="5" t="s">
        <v>80</v>
      </c>
      <c r="F166" s="5" t="s">
        <v>391</v>
      </c>
    </row>
    <row r="167" customFormat="false" ht="15" hidden="false" customHeight="false" outlineLevel="0" collapsed="false">
      <c r="A167" s="29" t="s">
        <v>16</v>
      </c>
      <c r="B167" s="30" t="s">
        <v>392</v>
      </c>
      <c r="C167" s="21" t="s">
        <v>393</v>
      </c>
      <c r="D167" s="21" t="s">
        <v>56</v>
      </c>
      <c r="E167" s="21" t="s">
        <v>57</v>
      </c>
      <c r="F167" s="21" t="s">
        <v>394</v>
      </c>
    </row>
    <row r="168" customFormat="false" ht="15" hidden="false" customHeight="false" outlineLevel="0" collapsed="false">
      <c r="A168" s="31" t="s">
        <v>16</v>
      </c>
      <c r="B168" s="9" t="s">
        <v>392</v>
      </c>
      <c r="C168" s="5" t="s">
        <v>107</v>
      </c>
      <c r="D168" s="5" t="s">
        <v>56</v>
      </c>
      <c r="E168" s="5" t="s">
        <v>134</v>
      </c>
      <c r="F168" s="5" t="s">
        <v>395</v>
      </c>
    </row>
    <row r="169" customFormat="false" ht="15" hidden="false" customHeight="false" outlineLevel="0" collapsed="false">
      <c r="A169" s="31" t="s">
        <v>16</v>
      </c>
      <c r="B169" s="9" t="s">
        <v>392</v>
      </c>
      <c r="C169" s="5" t="s">
        <v>396</v>
      </c>
      <c r="D169" s="5" t="s">
        <v>87</v>
      </c>
      <c r="E169" s="5" t="s">
        <v>72</v>
      </c>
      <c r="F169" s="5" t="s">
        <v>397</v>
      </c>
    </row>
    <row r="170" customFormat="false" ht="15" hidden="false" customHeight="false" outlineLevel="0" collapsed="false">
      <c r="A170" s="31" t="s">
        <v>16</v>
      </c>
      <c r="B170" s="9" t="s">
        <v>392</v>
      </c>
      <c r="C170" s="5" t="s">
        <v>398</v>
      </c>
      <c r="D170" s="5" t="s">
        <v>75</v>
      </c>
      <c r="E170" s="5" t="s">
        <v>148</v>
      </c>
      <c r="F170" s="5" t="s">
        <v>399</v>
      </c>
    </row>
    <row r="171" customFormat="false" ht="15" hidden="false" customHeight="false" outlineLevel="0" collapsed="false">
      <c r="A171" s="31" t="s">
        <v>16</v>
      </c>
      <c r="B171" s="9" t="s">
        <v>392</v>
      </c>
      <c r="C171" s="5" t="s">
        <v>400</v>
      </c>
      <c r="D171" s="5" t="s">
        <v>75</v>
      </c>
      <c r="E171" s="5" t="s">
        <v>76</v>
      </c>
      <c r="F171" s="5" t="s">
        <v>401</v>
      </c>
    </row>
    <row r="172" customFormat="false" ht="15" hidden="false" customHeight="false" outlineLevel="0" collapsed="false">
      <c r="A172" s="29" t="s">
        <v>16</v>
      </c>
      <c r="B172" s="30" t="s">
        <v>402</v>
      </c>
      <c r="C172" s="21" t="s">
        <v>295</v>
      </c>
      <c r="D172" s="21" t="s">
        <v>56</v>
      </c>
      <c r="E172" s="21" t="s">
        <v>336</v>
      </c>
      <c r="F172" s="21" t="s">
        <v>403</v>
      </c>
    </row>
    <row r="173" customFormat="false" ht="15" hidden="false" customHeight="false" outlineLevel="0" collapsed="false">
      <c r="A173" s="31" t="s">
        <v>16</v>
      </c>
      <c r="B173" s="9" t="s">
        <v>402</v>
      </c>
      <c r="C173" s="5" t="s">
        <v>393</v>
      </c>
      <c r="D173" s="5" t="s">
        <v>56</v>
      </c>
      <c r="E173" s="5" t="s">
        <v>404</v>
      </c>
      <c r="F173" s="5" t="s">
        <v>405</v>
      </c>
    </row>
    <row r="174" customFormat="false" ht="15" hidden="false" customHeight="false" outlineLevel="0" collapsed="false">
      <c r="A174" s="31" t="s">
        <v>16</v>
      </c>
      <c r="B174" s="9" t="s">
        <v>402</v>
      </c>
      <c r="C174" s="5" t="s">
        <v>174</v>
      </c>
      <c r="D174" s="5" t="s">
        <v>79</v>
      </c>
      <c r="E174" s="5" t="s">
        <v>80</v>
      </c>
      <c r="F174" s="5" t="s">
        <v>406</v>
      </c>
    </row>
    <row r="175" customFormat="false" ht="15" hidden="false" customHeight="false" outlineLevel="0" collapsed="false">
      <c r="A175" s="31" t="s">
        <v>16</v>
      </c>
      <c r="B175" s="9" t="s">
        <v>402</v>
      </c>
      <c r="C175" s="5" t="s">
        <v>407</v>
      </c>
      <c r="D175" s="5" t="s">
        <v>75</v>
      </c>
      <c r="E175" s="5" t="s">
        <v>148</v>
      </c>
      <c r="F175" s="5" t="s">
        <v>408</v>
      </c>
    </row>
    <row r="176" customFormat="false" ht="15" hidden="false" customHeight="false" outlineLevel="0" collapsed="false">
      <c r="A176" s="31" t="s">
        <v>16</v>
      </c>
      <c r="B176" s="9" t="s">
        <v>402</v>
      </c>
      <c r="C176" s="5" t="s">
        <v>409</v>
      </c>
      <c r="D176" s="5" t="s">
        <v>64</v>
      </c>
      <c r="E176" s="5" t="s">
        <v>324</v>
      </c>
      <c r="F176" s="5" t="s">
        <v>410</v>
      </c>
    </row>
    <row r="177" customFormat="false" ht="15" hidden="false" customHeight="false" outlineLevel="0" collapsed="false">
      <c r="A177" s="29" t="s">
        <v>16</v>
      </c>
      <c r="B177" s="30" t="s">
        <v>411</v>
      </c>
      <c r="C177" s="21" t="s">
        <v>412</v>
      </c>
      <c r="D177" s="21" t="s">
        <v>56</v>
      </c>
      <c r="E177" s="21" t="s">
        <v>57</v>
      </c>
      <c r="F177" s="21" t="s">
        <v>413</v>
      </c>
    </row>
    <row r="178" customFormat="false" ht="15" hidden="false" customHeight="false" outlineLevel="0" collapsed="false">
      <c r="A178" s="31" t="s">
        <v>16</v>
      </c>
      <c r="B178" s="9" t="s">
        <v>411</v>
      </c>
      <c r="C178" s="5" t="s">
        <v>59</v>
      </c>
      <c r="D178" s="5" t="s">
        <v>87</v>
      </c>
      <c r="E178" s="5" t="s">
        <v>68</v>
      </c>
      <c r="F178" s="5" t="s">
        <v>414</v>
      </c>
    </row>
    <row r="179" customFormat="false" ht="15" hidden="false" customHeight="false" outlineLevel="0" collapsed="false">
      <c r="A179" s="31" t="s">
        <v>16</v>
      </c>
      <c r="B179" s="9" t="s">
        <v>411</v>
      </c>
      <c r="C179" s="5" t="s">
        <v>90</v>
      </c>
      <c r="D179" s="5" t="s">
        <v>91</v>
      </c>
      <c r="E179" s="5" t="s">
        <v>72</v>
      </c>
      <c r="F179" s="5" t="s">
        <v>415</v>
      </c>
    </row>
    <row r="180" customFormat="false" ht="15" hidden="false" customHeight="false" outlineLevel="0" collapsed="false">
      <c r="A180" s="31" t="s">
        <v>16</v>
      </c>
      <c r="B180" s="9" t="s">
        <v>411</v>
      </c>
      <c r="C180" s="5" t="s">
        <v>416</v>
      </c>
      <c r="D180" s="5" t="s">
        <v>417</v>
      </c>
      <c r="E180" s="5" t="s">
        <v>68</v>
      </c>
      <c r="F180" s="5" t="s">
        <v>418</v>
      </c>
    </row>
    <row r="181" customFormat="false" ht="15" hidden="false" customHeight="false" outlineLevel="0" collapsed="false">
      <c r="A181" s="31" t="s">
        <v>16</v>
      </c>
      <c r="B181" s="9" t="s">
        <v>411</v>
      </c>
      <c r="C181" s="5" t="s">
        <v>400</v>
      </c>
      <c r="D181" s="5" t="s">
        <v>75</v>
      </c>
      <c r="E181" s="5" t="s">
        <v>76</v>
      </c>
      <c r="F181" s="5" t="s">
        <v>419</v>
      </c>
    </row>
    <row r="182" customFormat="false" ht="15" hidden="false" customHeight="false" outlineLevel="0" collapsed="false">
      <c r="A182" s="29" t="s">
        <v>16</v>
      </c>
      <c r="B182" s="30" t="s">
        <v>420</v>
      </c>
      <c r="C182" s="21" t="s">
        <v>421</v>
      </c>
      <c r="D182" s="21" t="s">
        <v>56</v>
      </c>
      <c r="E182" s="21" t="s">
        <v>57</v>
      </c>
      <c r="F182" s="21" t="s">
        <v>422</v>
      </c>
    </row>
    <row r="183" customFormat="false" ht="15" hidden="false" customHeight="false" outlineLevel="0" collapsed="false">
      <c r="A183" s="31" t="s">
        <v>16</v>
      </c>
      <c r="B183" s="9" t="s">
        <v>420</v>
      </c>
      <c r="C183" s="5" t="s">
        <v>295</v>
      </c>
      <c r="D183" s="5" t="s">
        <v>56</v>
      </c>
      <c r="E183" s="5" t="s">
        <v>316</v>
      </c>
      <c r="F183" s="5" t="s">
        <v>423</v>
      </c>
    </row>
    <row r="184" customFormat="false" ht="15" hidden="false" customHeight="false" outlineLevel="0" collapsed="false">
      <c r="A184" s="31" t="s">
        <v>16</v>
      </c>
      <c r="B184" s="9" t="s">
        <v>420</v>
      </c>
      <c r="C184" s="5" t="s">
        <v>59</v>
      </c>
      <c r="D184" s="5" t="s">
        <v>87</v>
      </c>
      <c r="E184" s="5" t="s">
        <v>68</v>
      </c>
      <c r="F184" s="5" t="s">
        <v>424</v>
      </c>
    </row>
    <row r="185" customFormat="false" ht="15" hidden="false" customHeight="false" outlineLevel="0" collapsed="false">
      <c r="A185" s="31" t="s">
        <v>16</v>
      </c>
      <c r="B185" s="9" t="s">
        <v>420</v>
      </c>
      <c r="C185" s="5" t="s">
        <v>425</v>
      </c>
      <c r="D185" s="5" t="s">
        <v>64</v>
      </c>
      <c r="E185" s="5" t="s">
        <v>68</v>
      </c>
      <c r="F185" s="5" t="s">
        <v>426</v>
      </c>
    </row>
    <row r="186" customFormat="false" ht="15" hidden="false" customHeight="false" outlineLevel="0" collapsed="false">
      <c r="A186" s="31" t="s">
        <v>16</v>
      </c>
      <c r="B186" s="9" t="s">
        <v>420</v>
      </c>
      <c r="C186" s="5" t="s">
        <v>340</v>
      </c>
      <c r="D186" s="5" t="s">
        <v>91</v>
      </c>
      <c r="E186" s="5" t="s">
        <v>72</v>
      </c>
      <c r="F186" s="5" t="s">
        <v>427</v>
      </c>
    </row>
    <row r="187" customFormat="false" ht="15" hidden="false" customHeight="false" outlineLevel="0" collapsed="false">
      <c r="A187" s="31" t="s">
        <v>16</v>
      </c>
      <c r="B187" s="9" t="s">
        <v>420</v>
      </c>
      <c r="C187" s="5" t="s">
        <v>428</v>
      </c>
      <c r="D187" s="5" t="s">
        <v>75</v>
      </c>
      <c r="E187" s="5" t="s">
        <v>76</v>
      </c>
      <c r="F187" s="5" t="s">
        <v>429</v>
      </c>
    </row>
    <row r="188" customFormat="false" ht="15" hidden="false" customHeight="false" outlineLevel="0" collapsed="false">
      <c r="A188" s="29" t="s">
        <v>16</v>
      </c>
      <c r="B188" s="30" t="s">
        <v>430</v>
      </c>
      <c r="C188" s="21" t="s">
        <v>421</v>
      </c>
      <c r="D188" s="21" t="s">
        <v>56</v>
      </c>
      <c r="E188" s="21" t="s">
        <v>431</v>
      </c>
      <c r="F188" s="21" t="s">
        <v>432</v>
      </c>
    </row>
    <row r="189" customFormat="false" ht="15" hidden="false" customHeight="false" outlineLevel="0" collapsed="false">
      <c r="A189" s="31" t="s">
        <v>16</v>
      </c>
      <c r="B189" s="9" t="s">
        <v>430</v>
      </c>
      <c r="C189" s="5" t="s">
        <v>412</v>
      </c>
      <c r="D189" s="5" t="s">
        <v>56</v>
      </c>
      <c r="E189" s="5" t="s">
        <v>433</v>
      </c>
      <c r="F189" s="5" t="s">
        <v>434</v>
      </c>
    </row>
    <row r="190" customFormat="false" ht="15" hidden="false" customHeight="false" outlineLevel="0" collapsed="false">
      <c r="A190" s="31" t="s">
        <v>16</v>
      </c>
      <c r="B190" s="9" t="s">
        <v>430</v>
      </c>
      <c r="C190" s="5" t="s">
        <v>435</v>
      </c>
      <c r="D190" s="5" t="s">
        <v>417</v>
      </c>
      <c r="E190" s="5" t="s">
        <v>68</v>
      </c>
      <c r="F190" s="5" t="s">
        <v>436</v>
      </c>
    </row>
    <row r="191" customFormat="false" ht="15" hidden="false" customHeight="false" outlineLevel="0" collapsed="false">
      <c r="A191" s="31" t="s">
        <v>16</v>
      </c>
      <c r="B191" s="9" t="s">
        <v>430</v>
      </c>
      <c r="C191" s="5" t="s">
        <v>319</v>
      </c>
      <c r="D191" s="5" t="s">
        <v>320</v>
      </c>
      <c r="E191" s="5" t="s">
        <v>68</v>
      </c>
      <c r="F191" s="5" t="s">
        <v>437</v>
      </c>
    </row>
    <row r="192" customFormat="false" ht="15" hidden="false" customHeight="false" outlineLevel="0" collapsed="false">
      <c r="A192" s="29" t="s">
        <v>16</v>
      </c>
      <c r="B192" s="30" t="s">
        <v>438</v>
      </c>
      <c r="C192" s="21" t="s">
        <v>439</v>
      </c>
      <c r="D192" s="21" t="s">
        <v>56</v>
      </c>
      <c r="E192" s="21" t="s">
        <v>57</v>
      </c>
      <c r="F192" s="21" t="s">
        <v>440</v>
      </c>
    </row>
    <row r="193" customFormat="false" ht="15" hidden="false" customHeight="false" outlineLevel="0" collapsed="false">
      <c r="A193" s="31" t="s">
        <v>16</v>
      </c>
      <c r="B193" s="9" t="s">
        <v>438</v>
      </c>
      <c r="C193" s="5" t="s">
        <v>344</v>
      </c>
      <c r="D193" s="5" t="s">
        <v>56</v>
      </c>
      <c r="E193" s="5" t="s">
        <v>363</v>
      </c>
      <c r="F193" s="5" t="s">
        <v>441</v>
      </c>
    </row>
    <row r="194" customFormat="false" ht="15" hidden="false" customHeight="false" outlineLevel="0" collapsed="false">
      <c r="A194" s="31" t="s">
        <v>16</v>
      </c>
      <c r="B194" s="9" t="s">
        <v>438</v>
      </c>
      <c r="C194" s="5" t="s">
        <v>393</v>
      </c>
      <c r="D194" s="5" t="s">
        <v>56</v>
      </c>
      <c r="E194" s="5" t="s">
        <v>442</v>
      </c>
      <c r="F194" s="5" t="s">
        <v>443</v>
      </c>
    </row>
    <row r="195" customFormat="false" ht="15" hidden="false" customHeight="false" outlineLevel="0" collapsed="false">
      <c r="A195" s="31" t="s">
        <v>16</v>
      </c>
      <c r="B195" s="9" t="s">
        <v>438</v>
      </c>
      <c r="C195" s="5" t="s">
        <v>421</v>
      </c>
      <c r="D195" s="5" t="s">
        <v>56</v>
      </c>
      <c r="E195" s="5" t="s">
        <v>444</v>
      </c>
      <c r="F195" s="5" t="s">
        <v>445</v>
      </c>
    </row>
    <row r="196" customFormat="false" ht="15" hidden="false" customHeight="false" outlineLevel="0" collapsed="false">
      <c r="A196" s="31" t="s">
        <v>16</v>
      </c>
      <c r="B196" s="9" t="s">
        <v>438</v>
      </c>
      <c r="C196" s="5" t="s">
        <v>275</v>
      </c>
      <c r="D196" s="5" t="s">
        <v>79</v>
      </c>
      <c r="E196" s="5" t="s">
        <v>80</v>
      </c>
      <c r="F196" s="5" t="s">
        <v>446</v>
      </c>
    </row>
    <row r="197" customFormat="false" ht="15" hidden="false" customHeight="false" outlineLevel="0" collapsed="false">
      <c r="A197" s="31" t="s">
        <v>16</v>
      </c>
      <c r="B197" s="9" t="s">
        <v>438</v>
      </c>
      <c r="C197" s="5" t="s">
        <v>355</v>
      </c>
      <c r="D197" s="5" t="s">
        <v>79</v>
      </c>
      <c r="E197" s="5" t="s">
        <v>72</v>
      </c>
      <c r="F197" s="5" t="s">
        <v>447</v>
      </c>
    </row>
    <row r="198" customFormat="false" ht="15" hidden="false" customHeight="false" outlineLevel="0" collapsed="false">
      <c r="A198" s="31" t="s">
        <v>16</v>
      </c>
      <c r="B198" s="9" t="s">
        <v>438</v>
      </c>
      <c r="C198" s="5" t="s">
        <v>74</v>
      </c>
      <c r="D198" s="5" t="s">
        <v>64</v>
      </c>
      <c r="E198" s="5" t="s">
        <v>448</v>
      </c>
      <c r="F198" s="5" t="s">
        <v>449</v>
      </c>
    </row>
    <row r="199" customFormat="false" ht="15" hidden="false" customHeight="false" outlineLevel="0" collapsed="false">
      <c r="A199" s="31" t="s">
        <v>16</v>
      </c>
      <c r="B199" s="9" t="s">
        <v>438</v>
      </c>
      <c r="C199" s="5" t="s">
        <v>450</v>
      </c>
      <c r="D199" s="5" t="s">
        <v>91</v>
      </c>
      <c r="E199" s="5" t="s">
        <v>72</v>
      </c>
      <c r="F199" s="5" t="s">
        <v>451</v>
      </c>
    </row>
    <row r="200" customFormat="false" ht="15" hidden="false" customHeight="false" outlineLevel="0" collapsed="false">
      <c r="A200" s="29" t="s">
        <v>16</v>
      </c>
      <c r="B200" s="30" t="s">
        <v>452</v>
      </c>
      <c r="C200" s="21" t="s">
        <v>453</v>
      </c>
      <c r="D200" s="21" t="s">
        <v>56</v>
      </c>
      <c r="E200" s="21" t="s">
        <v>57</v>
      </c>
      <c r="F200" s="21" t="s">
        <v>454</v>
      </c>
    </row>
    <row r="201" customFormat="false" ht="15" hidden="false" customHeight="false" outlineLevel="0" collapsed="false">
      <c r="A201" s="31" t="s">
        <v>16</v>
      </c>
      <c r="B201" s="9" t="s">
        <v>452</v>
      </c>
      <c r="C201" s="5" t="s">
        <v>439</v>
      </c>
      <c r="D201" s="5" t="s">
        <v>56</v>
      </c>
      <c r="E201" s="5" t="s">
        <v>455</v>
      </c>
      <c r="F201" s="5" t="s">
        <v>456</v>
      </c>
    </row>
    <row r="202" customFormat="false" ht="15" hidden="false" customHeight="false" outlineLevel="0" collapsed="false">
      <c r="A202" s="31" t="s">
        <v>16</v>
      </c>
      <c r="B202" s="9" t="s">
        <v>452</v>
      </c>
      <c r="C202" s="5" t="s">
        <v>412</v>
      </c>
      <c r="D202" s="5" t="s">
        <v>56</v>
      </c>
      <c r="E202" s="5" t="s">
        <v>457</v>
      </c>
      <c r="F202" s="5" t="s">
        <v>458</v>
      </c>
    </row>
    <row r="203" customFormat="false" ht="15" hidden="false" customHeight="false" outlineLevel="0" collapsed="false">
      <c r="A203" s="31" t="s">
        <v>16</v>
      </c>
      <c r="B203" s="9" t="s">
        <v>452</v>
      </c>
      <c r="C203" s="5" t="s">
        <v>459</v>
      </c>
      <c r="D203" s="5" t="s">
        <v>417</v>
      </c>
      <c r="E203" s="5" t="s">
        <v>68</v>
      </c>
      <c r="F203" s="5" t="s">
        <v>460</v>
      </c>
    </row>
    <row r="204" customFormat="false" ht="15" hidden="false" customHeight="false" outlineLevel="0" collapsed="false">
      <c r="A204" s="31" t="s">
        <v>16</v>
      </c>
      <c r="B204" s="9" t="s">
        <v>452</v>
      </c>
      <c r="C204" s="5" t="s">
        <v>461</v>
      </c>
      <c r="D204" s="5" t="s">
        <v>91</v>
      </c>
      <c r="E204" s="5" t="s">
        <v>72</v>
      </c>
      <c r="F204" s="5" t="s">
        <v>462</v>
      </c>
    </row>
    <row r="205" customFormat="false" ht="15" hidden="false" customHeight="false" outlineLevel="0" collapsed="false">
      <c r="A205" s="32" t="s">
        <v>19</v>
      </c>
      <c r="B205" s="33" t="s">
        <v>463</v>
      </c>
      <c r="C205" s="21" t="s">
        <v>464</v>
      </c>
      <c r="D205" s="21" t="s">
        <v>56</v>
      </c>
      <c r="E205" s="21" t="s">
        <v>57</v>
      </c>
      <c r="F205" s="21" t="s">
        <v>465</v>
      </c>
    </row>
    <row r="206" customFormat="false" ht="15" hidden="false" customHeight="false" outlineLevel="0" collapsed="false">
      <c r="A206" s="34" t="s">
        <v>19</v>
      </c>
      <c r="B206" s="10" t="s">
        <v>463</v>
      </c>
      <c r="C206" s="5" t="s">
        <v>59</v>
      </c>
      <c r="D206" s="5" t="s">
        <v>154</v>
      </c>
      <c r="E206" s="5" t="s">
        <v>61</v>
      </c>
      <c r="F206" s="5" t="s">
        <v>466</v>
      </c>
    </row>
    <row r="207" customFormat="false" ht="15" hidden="false" customHeight="false" outlineLevel="0" collapsed="false">
      <c r="A207" s="34" t="s">
        <v>19</v>
      </c>
      <c r="B207" s="10" t="s">
        <v>463</v>
      </c>
      <c r="C207" s="5" t="s">
        <v>467</v>
      </c>
      <c r="D207" s="5" t="s">
        <v>468</v>
      </c>
      <c r="E207" s="5" t="s">
        <v>61</v>
      </c>
      <c r="F207" s="5" t="s">
        <v>469</v>
      </c>
    </row>
    <row r="208" customFormat="false" ht="15" hidden="false" customHeight="false" outlineLevel="0" collapsed="false">
      <c r="A208" s="34" t="s">
        <v>19</v>
      </c>
      <c r="B208" s="10" t="s">
        <v>463</v>
      </c>
      <c r="C208" s="5" t="s">
        <v>90</v>
      </c>
      <c r="D208" s="5" t="s">
        <v>143</v>
      </c>
      <c r="E208" s="5" t="s">
        <v>72</v>
      </c>
      <c r="F208" s="5" t="s">
        <v>470</v>
      </c>
    </row>
    <row r="209" customFormat="false" ht="15" hidden="false" customHeight="false" outlineLevel="0" collapsed="false">
      <c r="A209" s="34" t="s">
        <v>19</v>
      </c>
      <c r="B209" s="10" t="s">
        <v>463</v>
      </c>
      <c r="C209" s="5" t="s">
        <v>319</v>
      </c>
      <c r="D209" s="5" t="s">
        <v>320</v>
      </c>
      <c r="E209" s="5" t="s">
        <v>61</v>
      </c>
      <c r="F209" s="5" t="s">
        <v>471</v>
      </c>
    </row>
    <row r="210" customFormat="false" ht="15" hidden="false" customHeight="false" outlineLevel="0" collapsed="false">
      <c r="A210" s="32" t="s">
        <v>19</v>
      </c>
      <c r="B210" s="33" t="s">
        <v>472</v>
      </c>
      <c r="C210" s="21" t="s">
        <v>473</v>
      </c>
      <c r="D210" s="21" t="s">
        <v>56</v>
      </c>
      <c r="E210" s="21" t="s">
        <v>57</v>
      </c>
      <c r="F210" s="21" t="s">
        <v>474</v>
      </c>
    </row>
    <row r="211" customFormat="false" ht="15" hidden="false" customHeight="false" outlineLevel="0" collapsed="false">
      <c r="A211" s="34" t="s">
        <v>19</v>
      </c>
      <c r="B211" s="10" t="s">
        <v>472</v>
      </c>
      <c r="C211" s="5" t="s">
        <v>59</v>
      </c>
      <c r="D211" s="5" t="s">
        <v>116</v>
      </c>
      <c r="E211" s="5" t="s">
        <v>61</v>
      </c>
      <c r="F211" s="5" t="s">
        <v>475</v>
      </c>
    </row>
    <row r="212" customFormat="false" ht="15" hidden="false" customHeight="false" outlineLevel="0" collapsed="false">
      <c r="A212" s="34" t="s">
        <v>19</v>
      </c>
      <c r="B212" s="10" t="s">
        <v>472</v>
      </c>
      <c r="C212" s="5" t="s">
        <v>90</v>
      </c>
      <c r="D212" s="5" t="s">
        <v>91</v>
      </c>
      <c r="E212" s="5" t="s">
        <v>72</v>
      </c>
      <c r="F212" s="5" t="s">
        <v>476</v>
      </c>
    </row>
    <row r="213" customFormat="false" ht="15" hidden="false" customHeight="false" outlineLevel="0" collapsed="false">
      <c r="A213" s="34" t="s">
        <v>19</v>
      </c>
      <c r="B213" s="10" t="s">
        <v>472</v>
      </c>
      <c r="C213" s="5" t="s">
        <v>477</v>
      </c>
      <c r="D213" s="5" t="s">
        <v>370</v>
      </c>
      <c r="E213" s="5" t="s">
        <v>72</v>
      </c>
      <c r="F213" s="5" t="s">
        <v>478</v>
      </c>
    </row>
    <row r="214" customFormat="false" ht="15" hidden="false" customHeight="false" outlineLevel="0" collapsed="false">
      <c r="A214" s="34" t="s">
        <v>19</v>
      </c>
      <c r="B214" s="10" t="s">
        <v>472</v>
      </c>
      <c r="C214" s="5" t="s">
        <v>464</v>
      </c>
      <c r="D214" s="5" t="s">
        <v>56</v>
      </c>
      <c r="E214" s="5" t="s">
        <v>479</v>
      </c>
      <c r="F214" s="5" t="s">
        <v>480</v>
      </c>
    </row>
    <row r="215" customFormat="false" ht="15" hidden="false" customHeight="false" outlineLevel="0" collapsed="false">
      <c r="A215" s="34" t="s">
        <v>19</v>
      </c>
      <c r="B215" s="10" t="s">
        <v>472</v>
      </c>
      <c r="C215" s="5" t="s">
        <v>481</v>
      </c>
      <c r="D215" s="5" t="s">
        <v>468</v>
      </c>
      <c r="E215" s="5" t="s">
        <v>482</v>
      </c>
      <c r="F215" s="5" t="s">
        <v>483</v>
      </c>
    </row>
    <row r="216" customFormat="false" ht="15" hidden="false" customHeight="false" outlineLevel="0" collapsed="false">
      <c r="A216" s="34" t="s">
        <v>19</v>
      </c>
      <c r="B216" s="10" t="s">
        <v>472</v>
      </c>
      <c r="C216" s="5" t="s">
        <v>428</v>
      </c>
      <c r="D216" s="5" t="s">
        <v>75</v>
      </c>
      <c r="E216" s="5" t="s">
        <v>76</v>
      </c>
      <c r="F216" s="5" t="s">
        <v>484</v>
      </c>
    </row>
    <row r="217" customFormat="false" ht="15" hidden="false" customHeight="false" outlineLevel="0" collapsed="false">
      <c r="A217" s="32" t="s">
        <v>19</v>
      </c>
      <c r="B217" s="33" t="s">
        <v>485</v>
      </c>
      <c r="C217" s="21" t="s">
        <v>486</v>
      </c>
      <c r="D217" s="21" t="s">
        <v>56</v>
      </c>
      <c r="E217" s="21" t="s">
        <v>57</v>
      </c>
      <c r="F217" s="21" t="s">
        <v>487</v>
      </c>
    </row>
    <row r="218" customFormat="false" ht="15" hidden="false" customHeight="false" outlineLevel="0" collapsed="false">
      <c r="A218" s="34" t="s">
        <v>19</v>
      </c>
      <c r="B218" s="10" t="s">
        <v>485</v>
      </c>
      <c r="C218" s="5" t="s">
        <v>473</v>
      </c>
      <c r="D218" s="5" t="s">
        <v>56</v>
      </c>
      <c r="E218" s="5" t="s">
        <v>488</v>
      </c>
      <c r="F218" s="5" t="s">
        <v>489</v>
      </c>
    </row>
    <row r="219" customFormat="false" ht="15" hidden="false" customHeight="false" outlineLevel="0" collapsed="false">
      <c r="A219" s="34" t="s">
        <v>19</v>
      </c>
      <c r="B219" s="10" t="s">
        <v>485</v>
      </c>
      <c r="C219" s="5" t="s">
        <v>490</v>
      </c>
      <c r="D219" s="5" t="s">
        <v>491</v>
      </c>
      <c r="E219" s="5" t="s">
        <v>68</v>
      </c>
      <c r="F219" s="5" t="s">
        <v>492</v>
      </c>
    </row>
    <row r="220" customFormat="false" ht="15" hidden="false" customHeight="false" outlineLevel="0" collapsed="false">
      <c r="A220" s="34" t="s">
        <v>19</v>
      </c>
      <c r="B220" s="10" t="s">
        <v>485</v>
      </c>
      <c r="C220" s="5" t="s">
        <v>493</v>
      </c>
      <c r="D220" s="5" t="s">
        <v>494</v>
      </c>
      <c r="E220" s="5" t="s">
        <v>68</v>
      </c>
      <c r="F220" s="5" t="s">
        <v>495</v>
      </c>
    </row>
    <row r="221" customFormat="false" ht="15" hidden="false" customHeight="false" outlineLevel="0" collapsed="false">
      <c r="A221" s="34" t="s">
        <v>19</v>
      </c>
      <c r="B221" s="10" t="s">
        <v>485</v>
      </c>
      <c r="C221" s="5" t="s">
        <v>496</v>
      </c>
      <c r="D221" s="5" t="s">
        <v>497</v>
      </c>
      <c r="E221" s="5" t="s">
        <v>68</v>
      </c>
      <c r="F221" s="5" t="s">
        <v>498</v>
      </c>
    </row>
    <row r="222" customFormat="false" ht="15" hidden="false" customHeight="false" outlineLevel="0" collapsed="false">
      <c r="A222" s="34" t="s">
        <v>19</v>
      </c>
      <c r="B222" s="10" t="s">
        <v>485</v>
      </c>
      <c r="C222" s="5" t="s">
        <v>499</v>
      </c>
      <c r="D222" s="5" t="s">
        <v>500</v>
      </c>
      <c r="E222" s="5" t="s">
        <v>72</v>
      </c>
      <c r="F222" s="5" t="s">
        <v>501</v>
      </c>
    </row>
    <row r="223" customFormat="false" ht="15" hidden="false" customHeight="false" outlineLevel="0" collapsed="false">
      <c r="A223" s="34" t="s">
        <v>19</v>
      </c>
      <c r="B223" s="10" t="s">
        <v>485</v>
      </c>
      <c r="C223" s="5" t="s">
        <v>428</v>
      </c>
      <c r="D223" s="5" t="s">
        <v>75</v>
      </c>
      <c r="E223" s="5" t="s">
        <v>76</v>
      </c>
      <c r="F223" s="5" t="s">
        <v>502</v>
      </c>
    </row>
    <row r="224" customFormat="false" ht="15" hidden="false" customHeight="false" outlineLevel="0" collapsed="false">
      <c r="A224" s="32" t="s">
        <v>19</v>
      </c>
      <c r="B224" s="33" t="s">
        <v>503</v>
      </c>
      <c r="C224" s="21" t="s">
        <v>504</v>
      </c>
      <c r="D224" s="21" t="s">
        <v>56</v>
      </c>
      <c r="E224" s="21" t="s">
        <v>57</v>
      </c>
      <c r="F224" s="21" t="s">
        <v>505</v>
      </c>
    </row>
    <row r="225" customFormat="false" ht="15" hidden="false" customHeight="false" outlineLevel="0" collapsed="false">
      <c r="A225" s="34" t="s">
        <v>19</v>
      </c>
      <c r="B225" s="10" t="s">
        <v>503</v>
      </c>
      <c r="C225" s="5" t="s">
        <v>107</v>
      </c>
      <c r="D225" s="5" t="s">
        <v>56</v>
      </c>
      <c r="E225" s="5" t="s">
        <v>134</v>
      </c>
      <c r="F225" s="5" t="s">
        <v>506</v>
      </c>
    </row>
    <row r="226" customFormat="false" ht="15" hidden="false" customHeight="false" outlineLevel="0" collapsed="false">
      <c r="A226" s="34" t="s">
        <v>19</v>
      </c>
      <c r="B226" s="10" t="s">
        <v>503</v>
      </c>
      <c r="C226" s="5" t="s">
        <v>473</v>
      </c>
      <c r="D226" s="5" t="s">
        <v>56</v>
      </c>
      <c r="E226" s="5" t="s">
        <v>488</v>
      </c>
      <c r="F226" s="5" t="s">
        <v>507</v>
      </c>
    </row>
    <row r="227" customFormat="false" ht="15" hidden="false" customHeight="false" outlineLevel="0" collapsed="false">
      <c r="A227" s="34" t="s">
        <v>19</v>
      </c>
      <c r="B227" s="10" t="s">
        <v>503</v>
      </c>
      <c r="C227" s="5" t="s">
        <v>508</v>
      </c>
      <c r="D227" s="5" t="s">
        <v>79</v>
      </c>
      <c r="E227" s="5" t="s">
        <v>80</v>
      </c>
      <c r="F227" s="5" t="s">
        <v>509</v>
      </c>
    </row>
    <row r="228" customFormat="false" ht="15" hidden="false" customHeight="false" outlineLevel="0" collapsed="false">
      <c r="A228" s="34" t="s">
        <v>19</v>
      </c>
      <c r="B228" s="10" t="s">
        <v>503</v>
      </c>
      <c r="C228" s="5" t="s">
        <v>510</v>
      </c>
      <c r="D228" s="5" t="s">
        <v>113</v>
      </c>
      <c r="E228" s="5" t="s">
        <v>68</v>
      </c>
      <c r="F228" s="5" t="s">
        <v>511</v>
      </c>
    </row>
    <row r="229" customFormat="false" ht="15" hidden="false" customHeight="false" outlineLevel="0" collapsed="false">
      <c r="A229" s="34" t="s">
        <v>19</v>
      </c>
      <c r="B229" s="10" t="s">
        <v>503</v>
      </c>
      <c r="C229" s="5" t="s">
        <v>512</v>
      </c>
      <c r="D229" s="5" t="s">
        <v>56</v>
      </c>
      <c r="E229" s="5" t="s">
        <v>172</v>
      </c>
      <c r="F229" s="5" t="s">
        <v>513</v>
      </c>
    </row>
    <row r="230" customFormat="false" ht="15" hidden="false" customHeight="false" outlineLevel="0" collapsed="false">
      <c r="A230" s="34" t="s">
        <v>19</v>
      </c>
      <c r="B230" s="10" t="s">
        <v>503</v>
      </c>
      <c r="C230" s="5" t="s">
        <v>199</v>
      </c>
      <c r="D230" s="5" t="s">
        <v>79</v>
      </c>
      <c r="E230" s="5" t="s">
        <v>72</v>
      </c>
      <c r="F230" s="5" t="s">
        <v>514</v>
      </c>
    </row>
    <row r="231" customFormat="false" ht="15" hidden="false" customHeight="false" outlineLevel="0" collapsed="false">
      <c r="A231" s="32" t="s">
        <v>19</v>
      </c>
      <c r="B231" s="33" t="s">
        <v>515</v>
      </c>
      <c r="C231" s="21" t="s">
        <v>516</v>
      </c>
      <c r="D231" s="21" t="s">
        <v>56</v>
      </c>
      <c r="E231" s="21" t="s">
        <v>57</v>
      </c>
      <c r="F231" s="21" t="s">
        <v>517</v>
      </c>
    </row>
    <row r="232" customFormat="false" ht="15" hidden="false" customHeight="false" outlineLevel="0" collapsed="false">
      <c r="A232" s="34" t="s">
        <v>19</v>
      </c>
      <c r="B232" s="10" t="s">
        <v>515</v>
      </c>
      <c r="C232" s="5" t="s">
        <v>107</v>
      </c>
      <c r="D232" s="5" t="s">
        <v>56</v>
      </c>
      <c r="E232" s="5" t="s">
        <v>134</v>
      </c>
      <c r="F232" s="5" t="s">
        <v>518</v>
      </c>
    </row>
    <row r="233" customFormat="false" ht="15" hidden="false" customHeight="false" outlineLevel="0" collapsed="false">
      <c r="A233" s="34" t="s">
        <v>19</v>
      </c>
      <c r="B233" s="10" t="s">
        <v>515</v>
      </c>
      <c r="C233" s="5" t="s">
        <v>519</v>
      </c>
      <c r="D233" s="5" t="s">
        <v>468</v>
      </c>
      <c r="E233" s="5" t="s">
        <v>68</v>
      </c>
      <c r="F233" s="5" t="s">
        <v>520</v>
      </c>
    </row>
    <row r="234" customFormat="false" ht="15" hidden="false" customHeight="false" outlineLevel="0" collapsed="false">
      <c r="A234" s="34" t="s">
        <v>19</v>
      </c>
      <c r="B234" s="10" t="s">
        <v>515</v>
      </c>
      <c r="C234" s="5" t="s">
        <v>389</v>
      </c>
      <c r="D234" s="5" t="s">
        <v>71</v>
      </c>
      <c r="E234" s="5" t="s">
        <v>68</v>
      </c>
      <c r="F234" s="5" t="s">
        <v>521</v>
      </c>
    </row>
    <row r="235" customFormat="false" ht="15" hidden="false" customHeight="false" outlineLevel="0" collapsed="false">
      <c r="A235" s="34" t="s">
        <v>19</v>
      </c>
      <c r="B235" s="10" t="s">
        <v>515</v>
      </c>
      <c r="C235" s="5" t="s">
        <v>522</v>
      </c>
      <c r="D235" s="5" t="s">
        <v>491</v>
      </c>
      <c r="E235" s="5" t="s">
        <v>72</v>
      </c>
      <c r="F235" s="5" t="s">
        <v>523</v>
      </c>
    </row>
    <row r="236" customFormat="false" ht="15" hidden="false" customHeight="false" outlineLevel="0" collapsed="false">
      <c r="A236" s="34" t="s">
        <v>19</v>
      </c>
      <c r="B236" s="10" t="s">
        <v>515</v>
      </c>
      <c r="C236" s="5" t="s">
        <v>524</v>
      </c>
      <c r="D236" s="5" t="s">
        <v>56</v>
      </c>
      <c r="E236" s="5" t="s">
        <v>72</v>
      </c>
      <c r="F236" s="5" t="s">
        <v>525</v>
      </c>
    </row>
    <row r="237" customFormat="false" ht="15" hidden="false" customHeight="false" outlineLevel="0" collapsed="false">
      <c r="A237" s="34" t="s">
        <v>19</v>
      </c>
      <c r="B237" s="10" t="s">
        <v>515</v>
      </c>
      <c r="C237" s="5" t="s">
        <v>253</v>
      </c>
      <c r="D237" s="5" t="s">
        <v>56</v>
      </c>
      <c r="E237" s="5" t="s">
        <v>172</v>
      </c>
      <c r="F237" s="5" t="s">
        <v>526</v>
      </c>
    </row>
    <row r="238" customFormat="false" ht="15" hidden="false" customHeight="false" outlineLevel="0" collapsed="false">
      <c r="A238" s="34" t="s">
        <v>19</v>
      </c>
      <c r="B238" s="10" t="s">
        <v>515</v>
      </c>
      <c r="C238" s="5" t="s">
        <v>78</v>
      </c>
      <c r="D238" s="5" t="s">
        <v>79</v>
      </c>
      <c r="E238" s="5" t="s">
        <v>80</v>
      </c>
      <c r="F238" s="5" t="s">
        <v>527</v>
      </c>
    </row>
    <row r="239" customFormat="false" ht="15" hidden="false" customHeight="false" outlineLevel="0" collapsed="false">
      <c r="A239" s="32" t="s">
        <v>19</v>
      </c>
      <c r="B239" s="33" t="s">
        <v>528</v>
      </c>
      <c r="C239" s="21" t="s">
        <v>529</v>
      </c>
      <c r="D239" s="21" t="s">
        <v>56</v>
      </c>
      <c r="E239" s="21" t="s">
        <v>57</v>
      </c>
      <c r="F239" s="21" t="s">
        <v>530</v>
      </c>
    </row>
    <row r="240" customFormat="false" ht="15" hidden="false" customHeight="false" outlineLevel="0" collapsed="false">
      <c r="A240" s="34" t="s">
        <v>19</v>
      </c>
      <c r="B240" s="10" t="s">
        <v>528</v>
      </c>
      <c r="C240" s="5" t="s">
        <v>59</v>
      </c>
      <c r="D240" s="5" t="s">
        <v>116</v>
      </c>
      <c r="E240" s="5" t="s">
        <v>68</v>
      </c>
      <c r="F240" s="5" t="s">
        <v>531</v>
      </c>
    </row>
    <row r="241" customFormat="false" ht="15" hidden="false" customHeight="false" outlineLevel="0" collapsed="false">
      <c r="A241" s="34" t="s">
        <v>19</v>
      </c>
      <c r="B241" s="10" t="s">
        <v>528</v>
      </c>
      <c r="C241" s="5" t="s">
        <v>275</v>
      </c>
      <c r="D241" s="5" t="s">
        <v>222</v>
      </c>
      <c r="E241" s="5" t="s">
        <v>68</v>
      </c>
      <c r="F241" s="5" t="s">
        <v>532</v>
      </c>
    </row>
    <row r="242" customFormat="false" ht="15" hidden="false" customHeight="false" outlineLevel="0" collapsed="false">
      <c r="A242" s="34" t="s">
        <v>19</v>
      </c>
      <c r="B242" s="10" t="s">
        <v>528</v>
      </c>
      <c r="C242" s="5" t="s">
        <v>277</v>
      </c>
      <c r="D242" s="5" t="s">
        <v>222</v>
      </c>
      <c r="E242" s="5" t="s">
        <v>68</v>
      </c>
      <c r="F242" s="5" t="s">
        <v>533</v>
      </c>
    </row>
    <row r="243" customFormat="false" ht="15" hidden="false" customHeight="false" outlineLevel="0" collapsed="false">
      <c r="A243" s="34" t="s">
        <v>19</v>
      </c>
      <c r="B243" s="10" t="s">
        <v>528</v>
      </c>
      <c r="C243" s="5" t="s">
        <v>534</v>
      </c>
      <c r="D243" s="5" t="s">
        <v>79</v>
      </c>
      <c r="E243" s="5" t="s">
        <v>72</v>
      </c>
      <c r="F243" s="5" t="s">
        <v>535</v>
      </c>
    </row>
    <row r="244" customFormat="false" ht="15" hidden="false" customHeight="false" outlineLevel="0" collapsed="false">
      <c r="A244" s="34" t="s">
        <v>19</v>
      </c>
      <c r="B244" s="10" t="s">
        <v>528</v>
      </c>
      <c r="C244" s="5" t="s">
        <v>74</v>
      </c>
      <c r="D244" s="5" t="s">
        <v>64</v>
      </c>
      <c r="E244" s="5" t="s">
        <v>536</v>
      </c>
      <c r="F244" s="5" t="s">
        <v>537</v>
      </c>
    </row>
    <row r="245" customFormat="false" ht="15" hidden="false" customHeight="false" outlineLevel="0" collapsed="false">
      <c r="A245" s="32" t="s">
        <v>19</v>
      </c>
      <c r="B245" s="33" t="s">
        <v>538</v>
      </c>
      <c r="C245" s="21" t="s">
        <v>529</v>
      </c>
      <c r="D245" s="21" t="s">
        <v>56</v>
      </c>
      <c r="E245" s="21" t="s">
        <v>539</v>
      </c>
      <c r="F245" s="21" t="s">
        <v>540</v>
      </c>
    </row>
    <row r="246" customFormat="false" ht="15" hidden="false" customHeight="false" outlineLevel="0" collapsed="false">
      <c r="A246" s="34" t="s">
        <v>19</v>
      </c>
      <c r="B246" s="10" t="s">
        <v>538</v>
      </c>
      <c r="C246" s="5" t="s">
        <v>107</v>
      </c>
      <c r="D246" s="5" t="s">
        <v>56</v>
      </c>
      <c r="E246" s="5" t="s">
        <v>167</v>
      </c>
      <c r="F246" s="5" t="s">
        <v>541</v>
      </c>
    </row>
    <row r="247" customFormat="false" ht="15" hidden="false" customHeight="false" outlineLevel="0" collapsed="false">
      <c r="A247" s="34" t="s">
        <v>19</v>
      </c>
      <c r="B247" s="10" t="s">
        <v>538</v>
      </c>
      <c r="C247" s="5" t="s">
        <v>542</v>
      </c>
      <c r="D247" s="5" t="s">
        <v>468</v>
      </c>
      <c r="E247" s="5" t="s">
        <v>68</v>
      </c>
      <c r="F247" s="5" t="s">
        <v>543</v>
      </c>
    </row>
    <row r="248" customFormat="false" ht="15" hidden="false" customHeight="false" outlineLevel="0" collapsed="false">
      <c r="A248" s="34" t="s">
        <v>19</v>
      </c>
      <c r="B248" s="10" t="s">
        <v>538</v>
      </c>
      <c r="C248" s="5" t="s">
        <v>544</v>
      </c>
      <c r="D248" s="5" t="s">
        <v>468</v>
      </c>
      <c r="E248" s="5" t="s">
        <v>68</v>
      </c>
      <c r="F248" s="5" t="s">
        <v>545</v>
      </c>
    </row>
    <row r="249" customFormat="false" ht="15" hidden="false" customHeight="false" outlineLevel="0" collapsed="false">
      <c r="A249" s="34" t="s">
        <v>19</v>
      </c>
      <c r="B249" s="10" t="s">
        <v>538</v>
      </c>
      <c r="C249" s="5" t="s">
        <v>534</v>
      </c>
      <c r="D249" s="5" t="s">
        <v>79</v>
      </c>
      <c r="E249" s="5" t="s">
        <v>68</v>
      </c>
      <c r="F249" s="5" t="s">
        <v>546</v>
      </c>
    </row>
    <row r="250" customFormat="false" ht="15" hidden="false" customHeight="false" outlineLevel="0" collapsed="false">
      <c r="A250" s="35" t="s">
        <v>22</v>
      </c>
      <c r="B250" s="36" t="s">
        <v>547</v>
      </c>
      <c r="C250" s="21" t="s">
        <v>548</v>
      </c>
      <c r="D250" s="21" t="s">
        <v>56</v>
      </c>
      <c r="E250" s="21" t="s">
        <v>57</v>
      </c>
      <c r="F250" s="21" t="s">
        <v>549</v>
      </c>
    </row>
    <row r="251" customFormat="false" ht="15" hidden="false" customHeight="false" outlineLevel="0" collapsed="false">
      <c r="A251" s="37" t="s">
        <v>22</v>
      </c>
      <c r="B251" s="11" t="s">
        <v>547</v>
      </c>
      <c r="C251" s="5" t="s">
        <v>262</v>
      </c>
      <c r="D251" s="5" t="s">
        <v>56</v>
      </c>
      <c r="E251" s="5" t="s">
        <v>349</v>
      </c>
      <c r="F251" s="5" t="s">
        <v>550</v>
      </c>
    </row>
    <row r="252" customFormat="false" ht="15" hidden="false" customHeight="false" outlineLevel="0" collapsed="false">
      <c r="A252" s="37" t="s">
        <v>22</v>
      </c>
      <c r="B252" s="11" t="s">
        <v>547</v>
      </c>
      <c r="C252" s="5" t="s">
        <v>551</v>
      </c>
      <c r="D252" s="5" t="s">
        <v>56</v>
      </c>
      <c r="E252" s="5" t="s">
        <v>134</v>
      </c>
      <c r="F252" s="5" t="s">
        <v>552</v>
      </c>
    </row>
    <row r="253" customFormat="false" ht="15" hidden="false" customHeight="false" outlineLevel="0" collapsed="false">
      <c r="A253" s="37" t="s">
        <v>22</v>
      </c>
      <c r="B253" s="11" t="s">
        <v>547</v>
      </c>
      <c r="C253" s="5" t="s">
        <v>553</v>
      </c>
      <c r="D253" s="5" t="s">
        <v>113</v>
      </c>
      <c r="E253" s="5" t="s">
        <v>68</v>
      </c>
      <c r="F253" s="5" t="s">
        <v>554</v>
      </c>
    </row>
    <row r="254" customFormat="false" ht="15" hidden="false" customHeight="false" outlineLevel="0" collapsed="false">
      <c r="A254" s="37" t="s">
        <v>22</v>
      </c>
      <c r="B254" s="11" t="s">
        <v>547</v>
      </c>
      <c r="C254" s="5" t="s">
        <v>269</v>
      </c>
      <c r="D254" s="5" t="s">
        <v>143</v>
      </c>
      <c r="E254" s="5" t="s">
        <v>68</v>
      </c>
      <c r="F254" s="5" t="s">
        <v>555</v>
      </c>
    </row>
    <row r="255" customFormat="false" ht="15" hidden="false" customHeight="false" outlineLevel="0" collapsed="false">
      <c r="A255" s="37" t="s">
        <v>22</v>
      </c>
      <c r="B255" s="11" t="s">
        <v>547</v>
      </c>
      <c r="C255" s="5" t="s">
        <v>271</v>
      </c>
      <c r="D255" s="5" t="s">
        <v>91</v>
      </c>
      <c r="E255" s="5" t="s">
        <v>72</v>
      </c>
      <c r="F255" s="5" t="s">
        <v>556</v>
      </c>
    </row>
    <row r="256" customFormat="false" ht="15" hidden="false" customHeight="false" outlineLevel="0" collapsed="false">
      <c r="A256" s="37" t="s">
        <v>22</v>
      </c>
      <c r="B256" s="11" t="s">
        <v>547</v>
      </c>
      <c r="C256" s="5" t="s">
        <v>303</v>
      </c>
      <c r="D256" s="5" t="s">
        <v>222</v>
      </c>
      <c r="E256" s="5" t="s">
        <v>72</v>
      </c>
      <c r="F256" s="5" t="s">
        <v>557</v>
      </c>
    </row>
    <row r="257" customFormat="false" ht="15" hidden="false" customHeight="false" outlineLevel="0" collapsed="false">
      <c r="A257" s="37" t="s">
        <v>22</v>
      </c>
      <c r="B257" s="11" t="s">
        <v>547</v>
      </c>
      <c r="C257" s="5" t="s">
        <v>558</v>
      </c>
      <c r="D257" s="5" t="s">
        <v>116</v>
      </c>
      <c r="E257" s="5" t="s">
        <v>140</v>
      </c>
      <c r="F257" s="5" t="s">
        <v>559</v>
      </c>
    </row>
    <row r="258" customFormat="false" ht="15" hidden="false" customHeight="false" outlineLevel="0" collapsed="false">
      <c r="A258" s="37" t="s">
        <v>22</v>
      </c>
      <c r="B258" s="11" t="s">
        <v>547</v>
      </c>
      <c r="C258" s="5" t="s">
        <v>560</v>
      </c>
      <c r="D258" s="5" t="s">
        <v>370</v>
      </c>
      <c r="E258" s="5" t="s">
        <v>72</v>
      </c>
      <c r="F258" s="5" t="s">
        <v>561</v>
      </c>
    </row>
    <row r="259" customFormat="false" ht="15" hidden="false" customHeight="false" outlineLevel="0" collapsed="false">
      <c r="A259" s="37" t="s">
        <v>22</v>
      </c>
      <c r="B259" s="11" t="s">
        <v>547</v>
      </c>
      <c r="C259" s="5" t="s">
        <v>562</v>
      </c>
      <c r="D259" s="5" t="s">
        <v>357</v>
      </c>
      <c r="E259" s="5" t="s">
        <v>324</v>
      </c>
      <c r="F259" s="5" t="s">
        <v>563</v>
      </c>
    </row>
    <row r="260" customFormat="false" ht="15" hidden="false" customHeight="false" outlineLevel="0" collapsed="false">
      <c r="A260" s="35" t="s">
        <v>22</v>
      </c>
      <c r="B260" s="36" t="s">
        <v>564</v>
      </c>
      <c r="C260" s="21" t="s">
        <v>548</v>
      </c>
      <c r="D260" s="21" t="s">
        <v>56</v>
      </c>
      <c r="E260" s="21" t="s">
        <v>565</v>
      </c>
      <c r="F260" s="21" t="s">
        <v>566</v>
      </c>
    </row>
    <row r="261" customFormat="false" ht="15" hidden="false" customHeight="false" outlineLevel="0" collapsed="false">
      <c r="A261" s="37" t="s">
        <v>22</v>
      </c>
      <c r="B261" s="11" t="s">
        <v>564</v>
      </c>
      <c r="C261" s="5" t="s">
        <v>567</v>
      </c>
      <c r="D261" s="5" t="s">
        <v>71</v>
      </c>
      <c r="E261" s="5" t="s">
        <v>68</v>
      </c>
      <c r="F261" s="5" t="s">
        <v>568</v>
      </c>
    </row>
    <row r="262" customFormat="false" ht="15" hidden="false" customHeight="false" outlineLevel="0" collapsed="false">
      <c r="A262" s="37" t="s">
        <v>22</v>
      </c>
      <c r="B262" s="11" t="s">
        <v>564</v>
      </c>
      <c r="C262" s="5" t="s">
        <v>569</v>
      </c>
      <c r="D262" s="5" t="s">
        <v>64</v>
      </c>
      <c r="E262" s="5" t="s">
        <v>72</v>
      </c>
      <c r="F262" s="5" t="s">
        <v>570</v>
      </c>
    </row>
    <row r="263" customFormat="false" ht="15" hidden="false" customHeight="false" outlineLevel="0" collapsed="false">
      <c r="A263" s="37" t="s">
        <v>22</v>
      </c>
      <c r="B263" s="11" t="s">
        <v>564</v>
      </c>
      <c r="C263" s="5" t="s">
        <v>571</v>
      </c>
      <c r="D263" s="5" t="s">
        <v>64</v>
      </c>
      <c r="E263" s="5" t="s">
        <v>72</v>
      </c>
      <c r="F263" s="5" t="s">
        <v>572</v>
      </c>
    </row>
    <row r="264" customFormat="false" ht="15" hidden="false" customHeight="false" outlineLevel="0" collapsed="false">
      <c r="A264" s="37" t="s">
        <v>22</v>
      </c>
      <c r="B264" s="11" t="s">
        <v>564</v>
      </c>
      <c r="C264" s="5" t="s">
        <v>573</v>
      </c>
      <c r="D264" s="5" t="s">
        <v>64</v>
      </c>
      <c r="E264" s="5" t="s">
        <v>72</v>
      </c>
      <c r="F264" s="5" t="s">
        <v>574</v>
      </c>
    </row>
    <row r="265" customFormat="false" ht="15" hidden="false" customHeight="false" outlineLevel="0" collapsed="false">
      <c r="A265" s="37" t="s">
        <v>22</v>
      </c>
      <c r="B265" s="11" t="s">
        <v>564</v>
      </c>
      <c r="C265" s="5" t="s">
        <v>575</v>
      </c>
      <c r="D265" s="5" t="s">
        <v>113</v>
      </c>
      <c r="E265" s="5" t="s">
        <v>72</v>
      </c>
      <c r="F265" s="5" t="s">
        <v>576</v>
      </c>
    </row>
    <row r="266" customFormat="false" ht="15" hidden="false" customHeight="false" outlineLevel="0" collapsed="false">
      <c r="A266" s="37" t="s">
        <v>22</v>
      </c>
      <c r="B266" s="11" t="s">
        <v>564</v>
      </c>
      <c r="C266" s="5" t="s">
        <v>577</v>
      </c>
      <c r="D266" s="5" t="s">
        <v>116</v>
      </c>
      <c r="E266" s="5" t="s">
        <v>72</v>
      </c>
      <c r="F266" s="5" t="s">
        <v>578</v>
      </c>
    </row>
    <row r="267" customFormat="false" ht="15" hidden="false" customHeight="false" outlineLevel="0" collapsed="false">
      <c r="A267" s="35" t="s">
        <v>22</v>
      </c>
      <c r="B267" s="36" t="s">
        <v>579</v>
      </c>
      <c r="C267" s="21" t="s">
        <v>548</v>
      </c>
      <c r="D267" s="21" t="s">
        <v>56</v>
      </c>
      <c r="E267" s="21" t="s">
        <v>565</v>
      </c>
      <c r="F267" s="21" t="s">
        <v>580</v>
      </c>
    </row>
    <row r="268" customFormat="false" ht="15" hidden="false" customHeight="false" outlineLevel="0" collapsed="false">
      <c r="A268" s="37" t="s">
        <v>22</v>
      </c>
      <c r="B268" s="11" t="s">
        <v>579</v>
      </c>
      <c r="C268" s="5" t="s">
        <v>581</v>
      </c>
      <c r="D268" s="5" t="s">
        <v>56</v>
      </c>
      <c r="E268" s="5" t="s">
        <v>582</v>
      </c>
      <c r="F268" s="5" t="s">
        <v>583</v>
      </c>
    </row>
    <row r="269" customFormat="false" ht="15" hidden="false" customHeight="false" outlineLevel="0" collapsed="false">
      <c r="A269" s="37" t="s">
        <v>22</v>
      </c>
      <c r="B269" s="11" t="s">
        <v>579</v>
      </c>
      <c r="C269" s="5" t="s">
        <v>584</v>
      </c>
      <c r="D269" s="5" t="s">
        <v>113</v>
      </c>
      <c r="E269" s="5" t="s">
        <v>68</v>
      </c>
      <c r="F269" s="5" t="s">
        <v>585</v>
      </c>
    </row>
    <row r="270" customFormat="false" ht="15" hidden="false" customHeight="false" outlineLevel="0" collapsed="false">
      <c r="A270" s="37" t="s">
        <v>22</v>
      </c>
      <c r="B270" s="11" t="s">
        <v>579</v>
      </c>
      <c r="C270" s="5" t="s">
        <v>586</v>
      </c>
      <c r="D270" s="5" t="s">
        <v>113</v>
      </c>
      <c r="E270" s="5" t="s">
        <v>72</v>
      </c>
      <c r="F270" s="5" t="s">
        <v>587</v>
      </c>
    </row>
    <row r="271" customFormat="false" ht="15" hidden="false" customHeight="false" outlineLevel="0" collapsed="false">
      <c r="A271" s="37" t="s">
        <v>22</v>
      </c>
      <c r="B271" s="11" t="s">
        <v>579</v>
      </c>
      <c r="C271" s="5" t="s">
        <v>588</v>
      </c>
      <c r="D271" s="5" t="s">
        <v>222</v>
      </c>
      <c r="E271" s="5" t="s">
        <v>72</v>
      </c>
      <c r="F271" s="5" t="s">
        <v>589</v>
      </c>
    </row>
    <row r="272" customFormat="false" ht="15" hidden="false" customHeight="false" outlineLevel="0" collapsed="false">
      <c r="A272" s="35" t="s">
        <v>22</v>
      </c>
      <c r="B272" s="36" t="s">
        <v>590</v>
      </c>
      <c r="C272" s="21" t="s">
        <v>581</v>
      </c>
      <c r="D272" s="21" t="s">
        <v>56</v>
      </c>
      <c r="E272" s="21" t="s">
        <v>57</v>
      </c>
      <c r="F272" s="21" t="s">
        <v>591</v>
      </c>
    </row>
    <row r="273" customFormat="false" ht="15" hidden="false" customHeight="false" outlineLevel="0" collapsed="false">
      <c r="A273" s="37" t="s">
        <v>22</v>
      </c>
      <c r="B273" s="11" t="s">
        <v>590</v>
      </c>
      <c r="C273" s="5" t="s">
        <v>59</v>
      </c>
      <c r="D273" s="5" t="s">
        <v>71</v>
      </c>
      <c r="E273" s="5" t="s">
        <v>68</v>
      </c>
      <c r="F273" s="5" t="s">
        <v>592</v>
      </c>
    </row>
    <row r="274" customFormat="false" ht="15" hidden="false" customHeight="false" outlineLevel="0" collapsed="false">
      <c r="A274" s="37" t="s">
        <v>22</v>
      </c>
      <c r="B274" s="11" t="s">
        <v>590</v>
      </c>
      <c r="C274" s="5" t="s">
        <v>331</v>
      </c>
      <c r="D274" s="5" t="s">
        <v>103</v>
      </c>
      <c r="E274" s="5" t="s">
        <v>68</v>
      </c>
      <c r="F274" s="5" t="s">
        <v>593</v>
      </c>
    </row>
    <row r="275" customFormat="false" ht="15" hidden="false" customHeight="false" outlineLevel="0" collapsed="false">
      <c r="A275" s="37" t="s">
        <v>22</v>
      </c>
      <c r="B275" s="11" t="s">
        <v>590</v>
      </c>
      <c r="C275" s="5" t="s">
        <v>594</v>
      </c>
      <c r="D275" s="5" t="s">
        <v>87</v>
      </c>
      <c r="E275" s="5" t="s">
        <v>72</v>
      </c>
      <c r="F275" s="5" t="s">
        <v>595</v>
      </c>
    </row>
    <row r="276" customFormat="false" ht="15" hidden="false" customHeight="false" outlineLevel="0" collapsed="false">
      <c r="A276" s="37" t="s">
        <v>22</v>
      </c>
      <c r="B276" s="11" t="s">
        <v>590</v>
      </c>
      <c r="C276" s="5" t="s">
        <v>596</v>
      </c>
      <c r="D276" s="5" t="s">
        <v>87</v>
      </c>
      <c r="E276" s="5" t="s">
        <v>72</v>
      </c>
      <c r="F276" s="5" t="s">
        <v>597</v>
      </c>
    </row>
    <row r="277" customFormat="false" ht="15" hidden="false" customHeight="false" outlineLevel="0" collapsed="false">
      <c r="A277" s="37" t="s">
        <v>22</v>
      </c>
      <c r="B277" s="11" t="s">
        <v>590</v>
      </c>
      <c r="C277" s="5" t="s">
        <v>275</v>
      </c>
      <c r="D277" s="5" t="s">
        <v>222</v>
      </c>
      <c r="E277" s="5" t="s">
        <v>68</v>
      </c>
      <c r="F277" s="5" t="s">
        <v>598</v>
      </c>
    </row>
    <row r="278" customFormat="false" ht="15" hidden="false" customHeight="false" outlineLevel="0" collapsed="false">
      <c r="A278" s="37" t="s">
        <v>22</v>
      </c>
      <c r="B278" s="11" t="s">
        <v>590</v>
      </c>
      <c r="C278" s="5" t="s">
        <v>277</v>
      </c>
      <c r="D278" s="5" t="s">
        <v>222</v>
      </c>
      <c r="E278" s="5" t="s">
        <v>72</v>
      </c>
      <c r="F278" s="5" t="s">
        <v>599</v>
      </c>
    </row>
    <row r="279" customFormat="false" ht="15" hidden="false" customHeight="false" outlineLevel="0" collapsed="false">
      <c r="A279" s="37" t="s">
        <v>22</v>
      </c>
      <c r="B279" s="11" t="s">
        <v>590</v>
      </c>
      <c r="C279" s="5" t="s">
        <v>600</v>
      </c>
      <c r="D279" s="5" t="s">
        <v>370</v>
      </c>
      <c r="E279" s="5" t="s">
        <v>72</v>
      </c>
      <c r="F279" s="5" t="s">
        <v>601</v>
      </c>
    </row>
    <row r="280" customFormat="false" ht="15" hidden="false" customHeight="false" outlineLevel="0" collapsed="false">
      <c r="A280" s="35" t="s">
        <v>22</v>
      </c>
      <c r="B280" s="36" t="s">
        <v>602</v>
      </c>
      <c r="C280" s="21" t="s">
        <v>603</v>
      </c>
      <c r="D280" s="21" t="s">
        <v>56</v>
      </c>
      <c r="E280" s="21" t="s">
        <v>57</v>
      </c>
      <c r="F280" s="21" t="s">
        <v>604</v>
      </c>
    </row>
    <row r="281" customFormat="false" ht="15" hidden="false" customHeight="false" outlineLevel="0" collapsed="false">
      <c r="A281" s="37" t="s">
        <v>22</v>
      </c>
      <c r="B281" s="11" t="s">
        <v>602</v>
      </c>
      <c r="C281" s="5" t="s">
        <v>581</v>
      </c>
      <c r="D281" s="5" t="s">
        <v>56</v>
      </c>
      <c r="E281" s="5" t="s">
        <v>582</v>
      </c>
      <c r="F281" s="5" t="s">
        <v>605</v>
      </c>
    </row>
    <row r="282" customFormat="false" ht="15" hidden="false" customHeight="false" outlineLevel="0" collapsed="false">
      <c r="A282" s="37" t="s">
        <v>22</v>
      </c>
      <c r="B282" s="11" t="s">
        <v>602</v>
      </c>
      <c r="C282" s="5" t="s">
        <v>107</v>
      </c>
      <c r="D282" s="5" t="s">
        <v>56</v>
      </c>
      <c r="E282" s="5" t="s">
        <v>134</v>
      </c>
      <c r="F282" s="5" t="s">
        <v>606</v>
      </c>
    </row>
    <row r="283" customFormat="false" ht="15" hidden="false" customHeight="false" outlineLevel="0" collapsed="false">
      <c r="A283" s="37" t="s">
        <v>22</v>
      </c>
      <c r="B283" s="11" t="s">
        <v>602</v>
      </c>
      <c r="C283" s="5" t="s">
        <v>607</v>
      </c>
      <c r="D283" s="5" t="s">
        <v>357</v>
      </c>
      <c r="E283" s="5" t="s">
        <v>608</v>
      </c>
      <c r="F283" s="5" t="s">
        <v>609</v>
      </c>
    </row>
    <row r="284" customFormat="false" ht="15" hidden="false" customHeight="false" outlineLevel="0" collapsed="false">
      <c r="A284" s="37" t="s">
        <v>22</v>
      </c>
      <c r="B284" s="11" t="s">
        <v>602</v>
      </c>
      <c r="C284" s="5" t="s">
        <v>610</v>
      </c>
      <c r="D284" s="5" t="s">
        <v>79</v>
      </c>
      <c r="E284" s="5" t="s">
        <v>80</v>
      </c>
      <c r="F284" s="5" t="s">
        <v>611</v>
      </c>
    </row>
    <row r="285" customFormat="false" ht="15" hidden="false" customHeight="false" outlineLevel="0" collapsed="false">
      <c r="A285" s="37" t="s">
        <v>22</v>
      </c>
      <c r="B285" s="11" t="s">
        <v>602</v>
      </c>
      <c r="C285" s="5" t="s">
        <v>612</v>
      </c>
      <c r="D285" s="5" t="s">
        <v>79</v>
      </c>
      <c r="E285" s="5" t="s">
        <v>72</v>
      </c>
      <c r="F285" s="5" t="s">
        <v>613</v>
      </c>
    </row>
    <row r="286" customFormat="false" ht="15" hidden="false" customHeight="false" outlineLevel="0" collapsed="false">
      <c r="A286" s="35" t="s">
        <v>22</v>
      </c>
      <c r="B286" s="36" t="s">
        <v>614</v>
      </c>
      <c r="C286" s="21" t="s">
        <v>548</v>
      </c>
      <c r="D286" s="21" t="s">
        <v>56</v>
      </c>
      <c r="E286" s="21" t="s">
        <v>565</v>
      </c>
      <c r="F286" s="21" t="s">
        <v>615</v>
      </c>
    </row>
    <row r="287" customFormat="false" ht="15" hidden="false" customHeight="false" outlineLevel="0" collapsed="false">
      <c r="A287" s="37" t="s">
        <v>22</v>
      </c>
      <c r="B287" s="11" t="s">
        <v>614</v>
      </c>
      <c r="C287" s="5" t="s">
        <v>107</v>
      </c>
      <c r="D287" s="5" t="s">
        <v>56</v>
      </c>
      <c r="E287" s="5" t="s">
        <v>167</v>
      </c>
      <c r="F287" s="5" t="s">
        <v>616</v>
      </c>
    </row>
    <row r="288" customFormat="false" ht="15" hidden="false" customHeight="false" outlineLevel="0" collapsed="false">
      <c r="A288" s="37" t="s">
        <v>22</v>
      </c>
      <c r="B288" s="11" t="s">
        <v>614</v>
      </c>
      <c r="C288" s="5" t="s">
        <v>617</v>
      </c>
      <c r="D288" s="5" t="s">
        <v>320</v>
      </c>
      <c r="E288" s="5" t="s">
        <v>68</v>
      </c>
      <c r="F288" s="5" t="s">
        <v>618</v>
      </c>
    </row>
    <row r="289" customFormat="false" ht="15" hidden="false" customHeight="false" outlineLevel="0" collapsed="false">
      <c r="A289" s="37" t="s">
        <v>22</v>
      </c>
      <c r="B289" s="11" t="s">
        <v>614</v>
      </c>
      <c r="C289" s="5" t="s">
        <v>619</v>
      </c>
      <c r="D289" s="5" t="s">
        <v>75</v>
      </c>
      <c r="E289" s="5" t="s">
        <v>148</v>
      </c>
      <c r="F289" s="5" t="s">
        <v>620</v>
      </c>
    </row>
    <row r="290" customFormat="false" ht="15" hidden="false" customHeight="false" outlineLevel="0" collapsed="false">
      <c r="A290" s="35" t="s">
        <v>22</v>
      </c>
      <c r="B290" s="36" t="s">
        <v>621</v>
      </c>
      <c r="C290" s="21" t="s">
        <v>622</v>
      </c>
      <c r="D290" s="21" t="s">
        <v>56</v>
      </c>
      <c r="E290" s="21" t="s">
        <v>57</v>
      </c>
      <c r="F290" s="21" t="s">
        <v>623</v>
      </c>
    </row>
    <row r="291" customFormat="false" ht="15" hidden="false" customHeight="false" outlineLevel="0" collapsed="false">
      <c r="A291" s="37" t="s">
        <v>22</v>
      </c>
      <c r="B291" s="11" t="s">
        <v>621</v>
      </c>
      <c r="C291" s="5" t="s">
        <v>624</v>
      </c>
      <c r="D291" s="5" t="s">
        <v>56</v>
      </c>
      <c r="E291" s="5" t="s">
        <v>172</v>
      </c>
      <c r="F291" s="5" t="s">
        <v>625</v>
      </c>
    </row>
    <row r="292" customFormat="false" ht="15" hidden="false" customHeight="false" outlineLevel="0" collapsed="false">
      <c r="A292" s="37" t="s">
        <v>22</v>
      </c>
      <c r="B292" s="11" t="s">
        <v>621</v>
      </c>
      <c r="C292" s="5" t="s">
        <v>331</v>
      </c>
      <c r="D292" s="5" t="s">
        <v>103</v>
      </c>
      <c r="E292" s="5" t="s">
        <v>68</v>
      </c>
      <c r="F292" s="5" t="s">
        <v>626</v>
      </c>
    </row>
    <row r="293" customFormat="false" ht="15" hidden="false" customHeight="false" outlineLevel="0" collapsed="false">
      <c r="A293" s="37" t="s">
        <v>22</v>
      </c>
      <c r="B293" s="11" t="s">
        <v>621</v>
      </c>
      <c r="C293" s="5" t="s">
        <v>269</v>
      </c>
      <c r="D293" s="5" t="s">
        <v>87</v>
      </c>
      <c r="E293" s="5" t="s">
        <v>68</v>
      </c>
      <c r="F293" s="5" t="s">
        <v>627</v>
      </c>
    </row>
    <row r="294" customFormat="false" ht="15" hidden="false" customHeight="false" outlineLevel="0" collapsed="false">
      <c r="A294" s="37" t="s">
        <v>22</v>
      </c>
      <c r="B294" s="11" t="s">
        <v>621</v>
      </c>
      <c r="C294" s="5" t="s">
        <v>628</v>
      </c>
      <c r="D294" s="5" t="s">
        <v>91</v>
      </c>
      <c r="E294" s="5" t="s">
        <v>68</v>
      </c>
      <c r="F294" s="5" t="s">
        <v>629</v>
      </c>
    </row>
    <row r="295" customFormat="false" ht="15" hidden="false" customHeight="false" outlineLevel="0" collapsed="false">
      <c r="A295" s="37" t="s">
        <v>22</v>
      </c>
      <c r="B295" s="11" t="s">
        <v>621</v>
      </c>
      <c r="C295" s="5" t="s">
        <v>630</v>
      </c>
      <c r="D295" s="5" t="s">
        <v>64</v>
      </c>
      <c r="E295" s="5" t="s">
        <v>68</v>
      </c>
      <c r="F295" s="5" t="s">
        <v>631</v>
      </c>
    </row>
    <row r="296" customFormat="false" ht="15" hidden="false" customHeight="false" outlineLevel="0" collapsed="false">
      <c r="A296" s="37" t="s">
        <v>22</v>
      </c>
      <c r="B296" s="11" t="s">
        <v>621</v>
      </c>
      <c r="C296" s="5" t="s">
        <v>522</v>
      </c>
      <c r="D296" s="5" t="s">
        <v>491</v>
      </c>
      <c r="E296" s="5" t="s">
        <v>72</v>
      </c>
      <c r="F296" s="5" t="s">
        <v>632</v>
      </c>
    </row>
    <row r="297" customFormat="false" ht="15" hidden="false" customHeight="false" outlineLevel="0" collapsed="false">
      <c r="A297" s="37" t="s">
        <v>22</v>
      </c>
      <c r="B297" s="11" t="s">
        <v>621</v>
      </c>
      <c r="C297" s="5" t="s">
        <v>524</v>
      </c>
      <c r="D297" s="5" t="s">
        <v>56</v>
      </c>
      <c r="E297" s="5" t="s">
        <v>72</v>
      </c>
      <c r="F297" s="5" t="s">
        <v>633</v>
      </c>
    </row>
    <row r="298" customFormat="false" ht="15" hidden="false" customHeight="false" outlineLevel="0" collapsed="false">
      <c r="A298" s="37" t="s">
        <v>22</v>
      </c>
      <c r="B298" s="11" t="s">
        <v>621</v>
      </c>
      <c r="C298" s="5" t="s">
        <v>634</v>
      </c>
      <c r="D298" s="5" t="s">
        <v>79</v>
      </c>
      <c r="E298" s="5" t="s">
        <v>80</v>
      </c>
      <c r="F298" s="5" t="s">
        <v>635</v>
      </c>
    </row>
    <row r="299" customFormat="false" ht="15" hidden="false" customHeight="false" outlineLevel="0" collapsed="false">
      <c r="A299" s="35" t="s">
        <v>22</v>
      </c>
      <c r="B299" s="36" t="s">
        <v>636</v>
      </c>
      <c r="C299" s="21" t="s">
        <v>622</v>
      </c>
      <c r="D299" s="21" t="s">
        <v>56</v>
      </c>
      <c r="E299" s="21" t="s">
        <v>637</v>
      </c>
      <c r="F299" s="21" t="s">
        <v>638</v>
      </c>
    </row>
    <row r="300" customFormat="false" ht="15" hidden="false" customHeight="false" outlineLevel="0" collapsed="false">
      <c r="A300" s="37" t="s">
        <v>22</v>
      </c>
      <c r="B300" s="11" t="s">
        <v>636</v>
      </c>
      <c r="C300" s="5" t="s">
        <v>107</v>
      </c>
      <c r="D300" s="5" t="s">
        <v>56</v>
      </c>
      <c r="E300" s="5" t="s">
        <v>167</v>
      </c>
      <c r="F300" s="5" t="s">
        <v>639</v>
      </c>
    </row>
    <row r="301" customFormat="false" ht="15" hidden="false" customHeight="false" outlineLevel="0" collapsed="false">
      <c r="A301" s="37" t="s">
        <v>22</v>
      </c>
      <c r="B301" s="11" t="s">
        <v>636</v>
      </c>
      <c r="C301" s="5" t="s">
        <v>640</v>
      </c>
      <c r="D301" s="5" t="s">
        <v>79</v>
      </c>
      <c r="E301" s="5" t="s">
        <v>72</v>
      </c>
      <c r="F301" s="5" t="s">
        <v>641</v>
      </c>
    </row>
    <row r="302" customFormat="false" ht="15" hidden="false" customHeight="false" outlineLevel="0" collapsed="false">
      <c r="A302" s="37" t="s">
        <v>22</v>
      </c>
      <c r="B302" s="11" t="s">
        <v>636</v>
      </c>
      <c r="C302" s="5" t="s">
        <v>642</v>
      </c>
      <c r="D302" s="5" t="s">
        <v>79</v>
      </c>
      <c r="E302" s="5" t="s">
        <v>72</v>
      </c>
      <c r="F302" s="5" t="s">
        <v>643</v>
      </c>
    </row>
    <row r="303" customFormat="false" ht="15" hidden="false" customHeight="false" outlineLevel="0" collapsed="false">
      <c r="A303" s="37" t="s">
        <v>22</v>
      </c>
      <c r="B303" s="11" t="s">
        <v>636</v>
      </c>
      <c r="C303" s="5" t="s">
        <v>644</v>
      </c>
      <c r="D303" s="5" t="s">
        <v>64</v>
      </c>
      <c r="E303" s="5" t="s">
        <v>324</v>
      </c>
      <c r="F303" s="5" t="s">
        <v>645</v>
      </c>
    </row>
    <row r="304" customFormat="false" ht="15" hidden="false" customHeight="false" outlineLevel="0" collapsed="false">
      <c r="A304" s="35" t="s">
        <v>22</v>
      </c>
      <c r="B304" s="36" t="s">
        <v>646</v>
      </c>
      <c r="C304" s="21" t="s">
        <v>647</v>
      </c>
      <c r="D304" s="21" t="s">
        <v>56</v>
      </c>
      <c r="E304" s="21" t="s">
        <v>57</v>
      </c>
      <c r="F304" s="21" t="s">
        <v>648</v>
      </c>
    </row>
    <row r="305" customFormat="false" ht="15" hidden="false" customHeight="false" outlineLevel="0" collapsed="false">
      <c r="A305" s="37" t="s">
        <v>22</v>
      </c>
      <c r="B305" s="11" t="s">
        <v>646</v>
      </c>
      <c r="C305" s="5" t="s">
        <v>107</v>
      </c>
      <c r="D305" s="5" t="s">
        <v>56</v>
      </c>
      <c r="E305" s="5" t="s">
        <v>172</v>
      </c>
      <c r="F305" s="5" t="s">
        <v>649</v>
      </c>
    </row>
    <row r="306" customFormat="false" ht="15" hidden="false" customHeight="false" outlineLevel="0" collapsed="false">
      <c r="A306" s="37" t="s">
        <v>22</v>
      </c>
      <c r="B306" s="11" t="s">
        <v>646</v>
      </c>
      <c r="C306" s="5" t="s">
        <v>255</v>
      </c>
      <c r="D306" s="5" t="s">
        <v>491</v>
      </c>
      <c r="E306" s="5" t="s">
        <v>68</v>
      </c>
      <c r="F306" s="5" t="s">
        <v>650</v>
      </c>
    </row>
    <row r="307" customFormat="false" ht="15" hidden="false" customHeight="false" outlineLevel="0" collapsed="false">
      <c r="A307" s="37" t="s">
        <v>22</v>
      </c>
      <c r="B307" s="11" t="s">
        <v>646</v>
      </c>
      <c r="C307" s="5" t="s">
        <v>651</v>
      </c>
      <c r="D307" s="5" t="s">
        <v>67</v>
      </c>
      <c r="E307" s="5" t="s">
        <v>68</v>
      </c>
      <c r="F307" s="5" t="s">
        <v>652</v>
      </c>
    </row>
    <row r="308" customFormat="false" ht="15" hidden="false" customHeight="false" outlineLevel="0" collapsed="false">
      <c r="A308" s="37" t="s">
        <v>22</v>
      </c>
      <c r="B308" s="11" t="s">
        <v>646</v>
      </c>
      <c r="C308" s="5" t="s">
        <v>653</v>
      </c>
      <c r="D308" s="5" t="s">
        <v>491</v>
      </c>
      <c r="E308" s="5" t="s">
        <v>68</v>
      </c>
      <c r="F308" s="5" t="s">
        <v>654</v>
      </c>
    </row>
    <row r="309" customFormat="false" ht="15" hidden="false" customHeight="false" outlineLevel="0" collapsed="false">
      <c r="A309" s="37" t="s">
        <v>22</v>
      </c>
      <c r="B309" s="11" t="s">
        <v>646</v>
      </c>
      <c r="C309" s="5" t="s">
        <v>655</v>
      </c>
      <c r="D309" s="5" t="s">
        <v>500</v>
      </c>
      <c r="E309" s="5" t="s">
        <v>72</v>
      </c>
      <c r="F309" s="5" t="s">
        <v>656</v>
      </c>
    </row>
    <row r="310" customFormat="false" ht="15" hidden="false" customHeight="false" outlineLevel="0" collapsed="false">
      <c r="A310" s="37" t="s">
        <v>22</v>
      </c>
      <c r="B310" s="11" t="s">
        <v>646</v>
      </c>
      <c r="C310" s="5" t="s">
        <v>657</v>
      </c>
      <c r="D310" s="5" t="s">
        <v>500</v>
      </c>
      <c r="E310" s="5" t="s">
        <v>72</v>
      </c>
      <c r="F310" s="5" t="s">
        <v>658</v>
      </c>
    </row>
    <row r="311" customFormat="false" ht="15" hidden="false" customHeight="false" outlineLevel="0" collapsed="false">
      <c r="A311" s="37" t="s">
        <v>22</v>
      </c>
      <c r="B311" s="11" t="s">
        <v>646</v>
      </c>
      <c r="C311" s="5" t="s">
        <v>190</v>
      </c>
      <c r="D311" s="5" t="s">
        <v>191</v>
      </c>
      <c r="E311" s="5" t="s">
        <v>72</v>
      </c>
      <c r="F311" s="5" t="s">
        <v>659</v>
      </c>
    </row>
    <row r="312" customFormat="false" ht="15" hidden="false" customHeight="false" outlineLevel="0" collapsed="false">
      <c r="A312" s="37" t="s">
        <v>22</v>
      </c>
      <c r="B312" s="11" t="s">
        <v>646</v>
      </c>
      <c r="C312" s="5" t="s">
        <v>660</v>
      </c>
      <c r="D312" s="5" t="s">
        <v>79</v>
      </c>
      <c r="E312" s="5" t="s">
        <v>80</v>
      </c>
      <c r="F312" s="5" t="s">
        <v>661</v>
      </c>
    </row>
    <row r="313" customFormat="false" ht="15" hidden="false" customHeight="false" outlineLevel="0" collapsed="false">
      <c r="A313" s="35" t="s">
        <v>22</v>
      </c>
      <c r="B313" s="36" t="s">
        <v>662</v>
      </c>
      <c r="C313" s="21" t="s">
        <v>663</v>
      </c>
      <c r="D313" s="21" t="s">
        <v>56</v>
      </c>
      <c r="E313" s="21" t="s">
        <v>57</v>
      </c>
      <c r="F313" s="21" t="s">
        <v>664</v>
      </c>
    </row>
    <row r="314" customFormat="false" ht="15" hidden="false" customHeight="false" outlineLevel="0" collapsed="false">
      <c r="A314" s="37" t="s">
        <v>22</v>
      </c>
      <c r="B314" s="11" t="s">
        <v>662</v>
      </c>
      <c r="C314" s="5" t="s">
        <v>665</v>
      </c>
      <c r="D314" s="5" t="s">
        <v>56</v>
      </c>
      <c r="E314" s="5" t="s">
        <v>134</v>
      </c>
      <c r="F314" s="5" t="s">
        <v>377</v>
      </c>
    </row>
    <row r="315" customFormat="false" ht="15" hidden="false" customHeight="false" outlineLevel="0" collapsed="false">
      <c r="A315" s="37" t="s">
        <v>22</v>
      </c>
      <c r="B315" s="11" t="s">
        <v>662</v>
      </c>
      <c r="C315" s="5" t="s">
        <v>666</v>
      </c>
      <c r="D315" s="5" t="s">
        <v>143</v>
      </c>
      <c r="E315" s="5" t="s">
        <v>68</v>
      </c>
      <c r="F315" s="5" t="s">
        <v>667</v>
      </c>
    </row>
    <row r="316" customFormat="false" ht="15" hidden="false" customHeight="false" outlineLevel="0" collapsed="false">
      <c r="A316" s="37" t="s">
        <v>22</v>
      </c>
      <c r="B316" s="11" t="s">
        <v>662</v>
      </c>
      <c r="C316" s="5" t="s">
        <v>668</v>
      </c>
      <c r="D316" s="5" t="s">
        <v>370</v>
      </c>
      <c r="E316" s="5" t="s">
        <v>61</v>
      </c>
      <c r="F316" s="5" t="s">
        <v>669</v>
      </c>
    </row>
    <row r="317" customFormat="false" ht="15" hidden="false" customHeight="false" outlineLevel="0" collapsed="false">
      <c r="A317" s="37" t="s">
        <v>22</v>
      </c>
      <c r="B317" s="11" t="s">
        <v>662</v>
      </c>
      <c r="C317" s="5" t="s">
        <v>372</v>
      </c>
      <c r="D317" s="5" t="s">
        <v>116</v>
      </c>
      <c r="E317" s="5" t="s">
        <v>68</v>
      </c>
      <c r="F317" s="5" t="s">
        <v>670</v>
      </c>
    </row>
    <row r="318" customFormat="false" ht="15" hidden="false" customHeight="false" outlineLevel="0" collapsed="false">
      <c r="A318" s="37" t="s">
        <v>22</v>
      </c>
      <c r="B318" s="11" t="s">
        <v>662</v>
      </c>
      <c r="C318" s="5" t="s">
        <v>374</v>
      </c>
      <c r="D318" s="5" t="s">
        <v>56</v>
      </c>
      <c r="E318" s="5" t="s">
        <v>68</v>
      </c>
      <c r="F318" s="5" t="s">
        <v>671</v>
      </c>
    </row>
    <row r="319" customFormat="false" ht="15" hidden="false" customHeight="false" outlineLevel="0" collapsed="false">
      <c r="A319" s="37" t="s">
        <v>22</v>
      </c>
      <c r="B319" s="11" t="s">
        <v>662</v>
      </c>
      <c r="C319" s="5" t="s">
        <v>672</v>
      </c>
      <c r="D319" s="5" t="s">
        <v>673</v>
      </c>
      <c r="E319" s="5" t="s">
        <v>68</v>
      </c>
      <c r="F319" s="5" t="s">
        <v>674</v>
      </c>
    </row>
    <row r="320" customFormat="false" ht="15" hidden="false" customHeight="false" outlineLevel="0" collapsed="false">
      <c r="A320" s="37" t="s">
        <v>22</v>
      </c>
      <c r="B320" s="11" t="s">
        <v>662</v>
      </c>
      <c r="C320" s="5" t="s">
        <v>378</v>
      </c>
      <c r="D320" s="5" t="s">
        <v>79</v>
      </c>
      <c r="E320" s="5" t="s">
        <v>80</v>
      </c>
      <c r="F320" s="5" t="s">
        <v>675</v>
      </c>
    </row>
    <row r="321" customFormat="false" ht="15" hidden="false" customHeight="false" outlineLevel="0" collapsed="false">
      <c r="A321" s="37" t="s">
        <v>22</v>
      </c>
      <c r="B321" s="11" t="s">
        <v>662</v>
      </c>
      <c r="C321" s="5" t="s">
        <v>74</v>
      </c>
      <c r="D321" s="5" t="s">
        <v>64</v>
      </c>
      <c r="E321" s="5" t="s">
        <v>126</v>
      </c>
      <c r="F321" s="5" t="s">
        <v>676</v>
      </c>
    </row>
    <row r="322" customFormat="false" ht="15" hidden="false" customHeight="false" outlineLevel="0" collapsed="false">
      <c r="A322" s="35" t="s">
        <v>22</v>
      </c>
      <c r="B322" s="36" t="s">
        <v>677</v>
      </c>
      <c r="C322" s="21" t="s">
        <v>678</v>
      </c>
      <c r="D322" s="21" t="s">
        <v>56</v>
      </c>
      <c r="E322" s="21" t="s">
        <v>57</v>
      </c>
      <c r="F322" s="21" t="s">
        <v>679</v>
      </c>
    </row>
    <row r="323" customFormat="false" ht="15" hidden="false" customHeight="false" outlineLevel="0" collapsed="false">
      <c r="A323" s="37" t="s">
        <v>22</v>
      </c>
      <c r="B323" s="11" t="s">
        <v>677</v>
      </c>
      <c r="C323" s="5" t="s">
        <v>680</v>
      </c>
      <c r="D323" s="5" t="s">
        <v>56</v>
      </c>
      <c r="E323" s="5" t="s">
        <v>134</v>
      </c>
      <c r="F323" s="5" t="s">
        <v>681</v>
      </c>
    </row>
    <row r="324" customFormat="false" ht="15" hidden="false" customHeight="false" outlineLevel="0" collapsed="false">
      <c r="A324" s="37" t="s">
        <v>22</v>
      </c>
      <c r="B324" s="11" t="s">
        <v>677</v>
      </c>
      <c r="C324" s="5" t="s">
        <v>682</v>
      </c>
      <c r="D324" s="5" t="s">
        <v>491</v>
      </c>
      <c r="E324" s="5" t="s">
        <v>68</v>
      </c>
      <c r="F324" s="5" t="s">
        <v>683</v>
      </c>
    </row>
    <row r="325" customFormat="false" ht="15" hidden="false" customHeight="false" outlineLevel="0" collapsed="false">
      <c r="A325" s="37" t="s">
        <v>22</v>
      </c>
      <c r="B325" s="11" t="s">
        <v>677</v>
      </c>
      <c r="C325" s="5" t="s">
        <v>684</v>
      </c>
      <c r="D325" s="5" t="s">
        <v>56</v>
      </c>
      <c r="E325" s="5" t="s">
        <v>68</v>
      </c>
      <c r="F325" s="5" t="s">
        <v>685</v>
      </c>
    </row>
    <row r="326" customFormat="false" ht="15" hidden="false" customHeight="false" outlineLevel="0" collapsed="false">
      <c r="A326" s="37" t="s">
        <v>22</v>
      </c>
      <c r="B326" s="11" t="s">
        <v>677</v>
      </c>
      <c r="C326" s="5" t="s">
        <v>686</v>
      </c>
      <c r="D326" s="5" t="s">
        <v>91</v>
      </c>
      <c r="E326" s="5" t="s">
        <v>68</v>
      </c>
      <c r="F326" s="5" t="s">
        <v>687</v>
      </c>
    </row>
    <row r="327" customFormat="false" ht="15" hidden="false" customHeight="false" outlineLevel="0" collapsed="false">
      <c r="A327" s="37" t="s">
        <v>22</v>
      </c>
      <c r="B327" s="11" t="s">
        <v>677</v>
      </c>
      <c r="C327" s="5" t="s">
        <v>688</v>
      </c>
      <c r="D327" s="5" t="s">
        <v>64</v>
      </c>
      <c r="E327" s="5" t="s">
        <v>689</v>
      </c>
      <c r="F327" s="5" t="s">
        <v>690</v>
      </c>
    </row>
    <row r="328" customFormat="false" ht="15" hidden="false" customHeight="false" outlineLevel="0" collapsed="false">
      <c r="A328" s="37" t="s">
        <v>22</v>
      </c>
      <c r="B328" s="11" t="s">
        <v>677</v>
      </c>
      <c r="C328" s="5" t="s">
        <v>78</v>
      </c>
      <c r="D328" s="5" t="s">
        <v>79</v>
      </c>
      <c r="E328" s="5" t="s">
        <v>80</v>
      </c>
      <c r="F328" s="5" t="s">
        <v>691</v>
      </c>
    </row>
    <row r="329" customFormat="false" ht="15" hidden="false" customHeight="false" outlineLevel="0" collapsed="false">
      <c r="A329" s="35" t="s">
        <v>22</v>
      </c>
      <c r="B329" s="36" t="s">
        <v>692</v>
      </c>
      <c r="C329" s="21" t="s">
        <v>693</v>
      </c>
      <c r="D329" s="21" t="s">
        <v>56</v>
      </c>
      <c r="E329" s="21" t="s">
        <v>57</v>
      </c>
      <c r="F329" s="21" t="s">
        <v>694</v>
      </c>
    </row>
    <row r="330" customFormat="false" ht="15" hidden="false" customHeight="false" outlineLevel="0" collapsed="false">
      <c r="A330" s="37" t="s">
        <v>22</v>
      </c>
      <c r="B330" s="11" t="s">
        <v>692</v>
      </c>
      <c r="C330" s="5" t="s">
        <v>695</v>
      </c>
      <c r="D330" s="5" t="s">
        <v>116</v>
      </c>
      <c r="E330" s="5" t="s">
        <v>61</v>
      </c>
      <c r="F330" s="5" t="s">
        <v>696</v>
      </c>
    </row>
    <row r="331" customFormat="false" ht="15" hidden="false" customHeight="false" outlineLevel="0" collapsed="false">
      <c r="A331" s="37" t="s">
        <v>22</v>
      </c>
      <c r="B331" s="11" t="s">
        <v>692</v>
      </c>
      <c r="C331" s="5" t="s">
        <v>697</v>
      </c>
      <c r="D331" s="5" t="s">
        <v>500</v>
      </c>
      <c r="E331" s="5" t="s">
        <v>68</v>
      </c>
      <c r="F331" s="5" t="s">
        <v>698</v>
      </c>
    </row>
    <row r="332" customFormat="false" ht="15" hidden="false" customHeight="false" outlineLevel="0" collapsed="false">
      <c r="A332" s="37" t="s">
        <v>22</v>
      </c>
      <c r="B332" s="11" t="s">
        <v>692</v>
      </c>
      <c r="C332" s="5" t="s">
        <v>90</v>
      </c>
      <c r="D332" s="5" t="s">
        <v>143</v>
      </c>
      <c r="E332" s="5" t="s">
        <v>72</v>
      </c>
      <c r="F332" s="5" t="s">
        <v>699</v>
      </c>
    </row>
    <row r="333" customFormat="false" ht="15" hidden="false" customHeight="false" outlineLevel="0" collapsed="false">
      <c r="A333" s="37" t="s">
        <v>22</v>
      </c>
      <c r="B333" s="11" t="s">
        <v>692</v>
      </c>
      <c r="C333" s="5" t="s">
        <v>700</v>
      </c>
      <c r="D333" s="5" t="s">
        <v>56</v>
      </c>
      <c r="E333" s="5" t="s">
        <v>172</v>
      </c>
      <c r="F333" s="5" t="s">
        <v>701</v>
      </c>
    </row>
    <row r="334" customFormat="false" ht="15" hidden="false" customHeight="false" outlineLevel="0" collapsed="false">
      <c r="A334" s="37" t="s">
        <v>22</v>
      </c>
      <c r="B334" s="11" t="s">
        <v>692</v>
      </c>
      <c r="C334" s="5" t="s">
        <v>129</v>
      </c>
      <c r="D334" s="5" t="s">
        <v>79</v>
      </c>
      <c r="E334" s="5" t="s">
        <v>68</v>
      </c>
      <c r="F334" s="5" t="s">
        <v>702</v>
      </c>
    </row>
  </sheetData>
  <autoFilter ref="A1:F3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38"/>
    <col collapsed="false" customWidth="true" hidden="false" outlineLevel="0" max="6" min="6" style="0" width="12"/>
    <col collapsed="false" customWidth="true" hidden="false" outlineLevel="0" max="7" min="7" style="0" width="60"/>
  </cols>
  <sheetData>
    <row r="1" customFormat="false" ht="30" hidden="false" customHeight="true" outlineLevel="0" collapsed="false">
      <c r="A1" s="3" t="s">
        <v>703</v>
      </c>
      <c r="B1" s="3" t="s">
        <v>704</v>
      </c>
      <c r="C1" s="3" t="s">
        <v>705</v>
      </c>
      <c r="D1" s="3" t="s">
        <v>706</v>
      </c>
      <c r="E1" s="3" t="s">
        <v>707</v>
      </c>
      <c r="F1" s="3" t="s">
        <v>708</v>
      </c>
      <c r="G1" s="3" t="s">
        <v>709</v>
      </c>
    </row>
    <row r="2" customFormat="false" ht="23.85" hidden="false" customHeight="false" outlineLevel="0" collapsed="false">
      <c r="A2" s="38" t="s">
        <v>710</v>
      </c>
      <c r="B2" s="21" t="s">
        <v>711</v>
      </c>
      <c r="C2" s="21" t="s">
        <v>712</v>
      </c>
      <c r="D2" s="21" t="s">
        <v>106</v>
      </c>
      <c r="E2" s="21" t="s">
        <v>120</v>
      </c>
      <c r="F2" s="39" t="s">
        <v>713</v>
      </c>
      <c r="G2" s="21" t="s">
        <v>714</v>
      </c>
    </row>
    <row r="3" customFormat="false" ht="15" hidden="false" customHeight="false" outlineLevel="0" collapsed="false">
      <c r="A3" s="40" t="s">
        <v>710</v>
      </c>
      <c r="B3" s="5" t="s">
        <v>711</v>
      </c>
      <c r="C3" s="5" t="s">
        <v>715</v>
      </c>
      <c r="D3" s="5" t="s">
        <v>131</v>
      </c>
      <c r="E3" s="5" t="s">
        <v>142</v>
      </c>
      <c r="F3" s="41" t="s">
        <v>713</v>
      </c>
      <c r="G3" s="5" t="s">
        <v>716</v>
      </c>
    </row>
    <row r="4" customFormat="false" ht="15" hidden="false" customHeight="false" outlineLevel="0" collapsed="false">
      <c r="A4" s="40" t="s">
        <v>710</v>
      </c>
      <c r="B4" s="5" t="s">
        <v>711</v>
      </c>
      <c r="C4" s="5" t="s">
        <v>717</v>
      </c>
      <c r="D4" s="5" t="s">
        <v>131</v>
      </c>
      <c r="E4" s="5" t="s">
        <v>718</v>
      </c>
      <c r="F4" s="41" t="s">
        <v>713</v>
      </c>
      <c r="G4" s="5" t="s">
        <v>719</v>
      </c>
    </row>
    <row r="5" customFormat="false" ht="15" hidden="false" customHeight="false" outlineLevel="0" collapsed="false">
      <c r="A5" s="40" t="s">
        <v>710</v>
      </c>
      <c r="B5" s="5" t="s">
        <v>711</v>
      </c>
      <c r="C5" s="5" t="s">
        <v>720</v>
      </c>
      <c r="D5" s="5" t="s">
        <v>184</v>
      </c>
      <c r="E5" s="5" t="s">
        <v>721</v>
      </c>
      <c r="F5" s="41" t="s">
        <v>13</v>
      </c>
      <c r="G5" s="5" t="s">
        <v>722</v>
      </c>
    </row>
    <row r="6" customFormat="false" ht="15" hidden="false" customHeight="false" outlineLevel="0" collapsed="false">
      <c r="A6" s="40" t="s">
        <v>710</v>
      </c>
      <c r="B6" s="5" t="s">
        <v>711</v>
      </c>
      <c r="C6" s="5" t="s">
        <v>723</v>
      </c>
      <c r="D6" s="5" t="s">
        <v>131</v>
      </c>
      <c r="E6" s="5" t="s">
        <v>145</v>
      </c>
      <c r="F6" s="41" t="s">
        <v>724</v>
      </c>
      <c r="G6" s="5" t="s">
        <v>725</v>
      </c>
    </row>
    <row r="7" customFormat="false" ht="15" hidden="false" customHeight="false" outlineLevel="0" collapsed="false">
      <c r="A7" s="40" t="s">
        <v>710</v>
      </c>
      <c r="B7" s="5" t="s">
        <v>726</v>
      </c>
      <c r="C7" s="5" t="s">
        <v>727</v>
      </c>
      <c r="D7" s="5" t="s">
        <v>131</v>
      </c>
      <c r="E7" s="5" t="s">
        <v>728</v>
      </c>
      <c r="F7" s="41" t="s">
        <v>724</v>
      </c>
      <c r="G7" s="5" t="s">
        <v>729</v>
      </c>
    </row>
    <row r="8" customFormat="false" ht="15" hidden="false" customHeight="false" outlineLevel="0" collapsed="false">
      <c r="A8" s="40" t="s">
        <v>710</v>
      </c>
      <c r="B8" s="5" t="s">
        <v>730</v>
      </c>
      <c r="C8" s="5" t="s">
        <v>731</v>
      </c>
      <c r="D8" s="5" t="s">
        <v>732</v>
      </c>
      <c r="E8" s="5" t="s">
        <v>733</v>
      </c>
      <c r="F8" s="41" t="s">
        <v>713</v>
      </c>
      <c r="G8" s="5" t="s">
        <v>734</v>
      </c>
    </row>
    <row r="9" customFormat="false" ht="15" hidden="false" customHeight="false" outlineLevel="0" collapsed="false">
      <c r="A9" s="40" t="s">
        <v>710</v>
      </c>
      <c r="B9" s="5" t="s">
        <v>735</v>
      </c>
      <c r="C9" s="5" t="s">
        <v>736</v>
      </c>
      <c r="D9" s="5" t="s">
        <v>184</v>
      </c>
      <c r="E9" s="5" t="s">
        <v>199</v>
      </c>
      <c r="F9" s="41" t="s">
        <v>724</v>
      </c>
      <c r="G9" s="5" t="s">
        <v>737</v>
      </c>
    </row>
    <row r="10" customFormat="false" ht="15" hidden="false" customHeight="false" outlineLevel="0" collapsed="false">
      <c r="A10" s="40" t="s">
        <v>710</v>
      </c>
      <c r="B10" s="5" t="s">
        <v>738</v>
      </c>
      <c r="C10" s="5" t="s">
        <v>739</v>
      </c>
      <c r="D10" s="5" t="s">
        <v>106</v>
      </c>
      <c r="E10" s="5" t="s">
        <v>740</v>
      </c>
      <c r="F10" s="41" t="s">
        <v>741</v>
      </c>
      <c r="G10" s="5" t="s">
        <v>742</v>
      </c>
    </row>
    <row r="11" customFormat="false" ht="15" hidden="false" customHeight="false" outlineLevel="0" collapsed="false">
      <c r="A11" s="40" t="s">
        <v>710</v>
      </c>
      <c r="B11" s="5" t="s">
        <v>738</v>
      </c>
      <c r="C11" s="5" t="s">
        <v>743</v>
      </c>
      <c r="D11" s="5" t="s">
        <v>106</v>
      </c>
      <c r="E11" s="5" t="s">
        <v>122</v>
      </c>
      <c r="F11" s="41" t="s">
        <v>713</v>
      </c>
      <c r="G11" s="5" t="s">
        <v>744</v>
      </c>
    </row>
    <row r="12" customFormat="false" ht="15" hidden="false" customHeight="false" outlineLevel="0" collapsed="false">
      <c r="A12" s="40" t="s">
        <v>710</v>
      </c>
      <c r="B12" s="5" t="s">
        <v>738</v>
      </c>
      <c r="C12" s="5" t="s">
        <v>745</v>
      </c>
      <c r="D12" s="5" t="s">
        <v>106</v>
      </c>
      <c r="E12" s="5" t="s">
        <v>124</v>
      </c>
      <c r="F12" s="41" t="s">
        <v>724</v>
      </c>
      <c r="G12" s="5" t="s">
        <v>746</v>
      </c>
    </row>
    <row r="13" customFormat="false" ht="15" hidden="false" customHeight="false" outlineLevel="0" collapsed="false">
      <c r="A13" s="40" t="s">
        <v>710</v>
      </c>
      <c r="B13" s="5" t="s">
        <v>738</v>
      </c>
      <c r="C13" s="5" t="s">
        <v>747</v>
      </c>
      <c r="D13" s="5" t="s">
        <v>748</v>
      </c>
      <c r="E13" s="5" t="s">
        <v>59</v>
      </c>
      <c r="F13" s="41" t="s">
        <v>713</v>
      </c>
      <c r="G13" s="5" t="s">
        <v>749</v>
      </c>
    </row>
    <row r="14" customFormat="false" ht="15" hidden="false" customHeight="false" outlineLevel="0" collapsed="false">
      <c r="A14" s="40" t="s">
        <v>710</v>
      </c>
      <c r="B14" s="5" t="s">
        <v>738</v>
      </c>
      <c r="C14" s="5" t="s">
        <v>750</v>
      </c>
      <c r="D14" s="5" t="s">
        <v>151</v>
      </c>
      <c r="E14" s="5" t="s">
        <v>59</v>
      </c>
      <c r="F14" s="41" t="s">
        <v>713</v>
      </c>
      <c r="G14" s="5" t="s">
        <v>751</v>
      </c>
    </row>
    <row r="15" customFormat="false" ht="23.85" hidden="false" customHeight="false" outlineLevel="0" collapsed="false">
      <c r="A15" s="40" t="s">
        <v>710</v>
      </c>
      <c r="B15" s="5" t="s">
        <v>752</v>
      </c>
      <c r="C15" s="5" t="s">
        <v>753</v>
      </c>
      <c r="D15" s="5" t="s">
        <v>166</v>
      </c>
      <c r="E15" s="5" t="s">
        <v>754</v>
      </c>
      <c r="F15" s="41" t="s">
        <v>13</v>
      </c>
      <c r="G15" s="5" t="s">
        <v>755</v>
      </c>
    </row>
    <row r="16" customFormat="false" ht="15" hidden="false" customHeight="false" outlineLevel="0" collapsed="false">
      <c r="A16" s="38" t="s">
        <v>756</v>
      </c>
      <c r="B16" s="21" t="s">
        <v>757</v>
      </c>
      <c r="C16" s="21" t="s">
        <v>758</v>
      </c>
      <c r="D16" s="21" t="s">
        <v>209</v>
      </c>
      <c r="E16" s="21" t="s">
        <v>59</v>
      </c>
      <c r="F16" s="39" t="s">
        <v>13</v>
      </c>
      <c r="G16" s="21" t="s">
        <v>759</v>
      </c>
    </row>
    <row r="17" customFormat="false" ht="15" hidden="false" customHeight="false" outlineLevel="0" collapsed="false">
      <c r="A17" s="40" t="s">
        <v>756</v>
      </c>
      <c r="B17" s="5" t="s">
        <v>757</v>
      </c>
      <c r="C17" s="5" t="s">
        <v>760</v>
      </c>
      <c r="D17" s="5" t="s">
        <v>209</v>
      </c>
      <c r="E17" s="5" t="s">
        <v>63</v>
      </c>
      <c r="F17" s="41" t="s">
        <v>13</v>
      </c>
      <c r="G17" s="5" t="s">
        <v>761</v>
      </c>
    </row>
    <row r="18" customFormat="false" ht="15" hidden="false" customHeight="false" outlineLevel="0" collapsed="false">
      <c r="A18" s="40" t="s">
        <v>756</v>
      </c>
      <c r="B18" s="5" t="s">
        <v>757</v>
      </c>
      <c r="C18" s="5" t="s">
        <v>762</v>
      </c>
      <c r="D18" s="5" t="s">
        <v>209</v>
      </c>
      <c r="E18" s="5" t="s">
        <v>95</v>
      </c>
      <c r="F18" s="41" t="s">
        <v>13</v>
      </c>
      <c r="G18" s="5" t="s">
        <v>763</v>
      </c>
    </row>
    <row r="19" customFormat="false" ht="15" hidden="false" customHeight="false" outlineLevel="0" collapsed="false">
      <c r="A19" s="40" t="s">
        <v>756</v>
      </c>
      <c r="B19" s="5" t="s">
        <v>757</v>
      </c>
      <c r="C19" s="5" t="s">
        <v>764</v>
      </c>
      <c r="D19" s="5" t="s">
        <v>209</v>
      </c>
      <c r="E19" s="5" t="s">
        <v>55</v>
      </c>
      <c r="F19" s="41" t="s">
        <v>13</v>
      </c>
      <c r="G19" s="5" t="s">
        <v>765</v>
      </c>
    </row>
    <row r="20" customFormat="false" ht="15" hidden="false" customHeight="false" outlineLevel="0" collapsed="false">
      <c r="A20" s="40" t="s">
        <v>756</v>
      </c>
      <c r="B20" s="5" t="s">
        <v>757</v>
      </c>
      <c r="C20" s="5" t="s">
        <v>766</v>
      </c>
      <c r="D20" s="5" t="s">
        <v>209</v>
      </c>
      <c r="E20" s="5" t="s">
        <v>215</v>
      </c>
      <c r="F20" s="41" t="s">
        <v>13</v>
      </c>
      <c r="G20" s="5" t="s">
        <v>767</v>
      </c>
    </row>
    <row r="21" customFormat="false" ht="15" hidden="false" customHeight="false" outlineLevel="0" collapsed="false">
      <c r="A21" s="40" t="s">
        <v>756</v>
      </c>
      <c r="B21" s="5" t="s">
        <v>757</v>
      </c>
      <c r="C21" s="5" t="s">
        <v>768</v>
      </c>
      <c r="D21" s="5" t="s">
        <v>209</v>
      </c>
      <c r="E21" s="5" t="s">
        <v>219</v>
      </c>
      <c r="F21" s="41" t="s">
        <v>769</v>
      </c>
      <c r="G21" s="5" t="s">
        <v>770</v>
      </c>
    </row>
    <row r="22" customFormat="false" ht="15" hidden="false" customHeight="false" outlineLevel="0" collapsed="false">
      <c r="A22" s="40" t="s">
        <v>756</v>
      </c>
      <c r="B22" s="5" t="s">
        <v>757</v>
      </c>
      <c r="C22" s="5" t="s">
        <v>771</v>
      </c>
      <c r="D22" s="5" t="s">
        <v>209</v>
      </c>
      <c r="E22" s="5" t="s">
        <v>221</v>
      </c>
      <c r="F22" s="41" t="s">
        <v>13</v>
      </c>
      <c r="G22" s="5" t="s">
        <v>772</v>
      </c>
    </row>
    <row r="23" customFormat="false" ht="15" hidden="false" customHeight="false" outlineLevel="0" collapsed="false">
      <c r="A23" s="40" t="s">
        <v>756</v>
      </c>
      <c r="B23" s="5" t="s">
        <v>757</v>
      </c>
      <c r="C23" s="5" t="s">
        <v>773</v>
      </c>
      <c r="D23" s="5" t="s">
        <v>209</v>
      </c>
      <c r="E23" s="5" t="s">
        <v>74</v>
      </c>
      <c r="F23" s="41" t="s">
        <v>724</v>
      </c>
      <c r="G23" s="5" t="s">
        <v>774</v>
      </c>
    </row>
    <row r="24" customFormat="false" ht="23.85" hidden="false" customHeight="false" outlineLevel="0" collapsed="false">
      <c r="A24" s="40" t="s">
        <v>756</v>
      </c>
      <c r="B24" s="5" t="s">
        <v>775</v>
      </c>
      <c r="C24" s="5" t="s">
        <v>776</v>
      </c>
      <c r="D24" s="5" t="s">
        <v>226</v>
      </c>
      <c r="E24" s="5" t="s">
        <v>777</v>
      </c>
      <c r="F24" s="41" t="s">
        <v>778</v>
      </c>
      <c r="G24" s="5" t="s">
        <v>779</v>
      </c>
    </row>
    <row r="25" customFormat="false" ht="15" hidden="false" customHeight="false" outlineLevel="0" collapsed="false">
      <c r="A25" s="40" t="s">
        <v>756</v>
      </c>
      <c r="B25" s="5" t="s">
        <v>775</v>
      </c>
      <c r="C25" s="5" t="s">
        <v>780</v>
      </c>
      <c r="D25" s="5" t="s">
        <v>226</v>
      </c>
      <c r="E25" s="5" t="s">
        <v>231</v>
      </c>
      <c r="F25" s="41" t="s">
        <v>724</v>
      </c>
      <c r="G25" s="5" t="s">
        <v>781</v>
      </c>
    </row>
    <row r="26" customFormat="false" ht="15" hidden="false" customHeight="false" outlineLevel="0" collapsed="false">
      <c r="A26" s="40" t="s">
        <v>756</v>
      </c>
      <c r="B26" s="5" t="s">
        <v>782</v>
      </c>
      <c r="C26" s="5" t="s">
        <v>783</v>
      </c>
      <c r="D26" s="5" t="s">
        <v>106</v>
      </c>
      <c r="E26" s="5" t="s">
        <v>784</v>
      </c>
      <c r="F26" s="41" t="s">
        <v>713</v>
      </c>
      <c r="G26" s="5" t="s">
        <v>785</v>
      </c>
    </row>
    <row r="27" customFormat="false" ht="15" hidden="false" customHeight="false" outlineLevel="0" collapsed="false">
      <c r="A27" s="40" t="s">
        <v>756</v>
      </c>
      <c r="B27" s="5" t="s">
        <v>782</v>
      </c>
      <c r="C27" s="5" t="s">
        <v>786</v>
      </c>
      <c r="D27" s="5" t="s">
        <v>233</v>
      </c>
      <c r="E27" s="5" t="s">
        <v>787</v>
      </c>
      <c r="F27" s="41" t="s">
        <v>13</v>
      </c>
      <c r="G27" s="5" t="s">
        <v>788</v>
      </c>
    </row>
    <row r="28" customFormat="false" ht="15" hidden="false" customHeight="false" outlineLevel="0" collapsed="false">
      <c r="A28" s="40" t="s">
        <v>756</v>
      </c>
      <c r="B28" s="5" t="s">
        <v>782</v>
      </c>
      <c r="C28" s="5" t="s">
        <v>789</v>
      </c>
      <c r="D28" s="5" t="s">
        <v>233</v>
      </c>
      <c r="E28" s="5" t="s">
        <v>239</v>
      </c>
      <c r="F28" s="41" t="s">
        <v>769</v>
      </c>
      <c r="G28" s="5" t="s">
        <v>790</v>
      </c>
    </row>
    <row r="29" customFormat="false" ht="15" hidden="false" customHeight="false" outlineLevel="0" collapsed="false">
      <c r="A29" s="40" t="s">
        <v>756</v>
      </c>
      <c r="B29" s="5" t="s">
        <v>782</v>
      </c>
      <c r="C29" s="5" t="s">
        <v>791</v>
      </c>
      <c r="D29" s="5" t="s">
        <v>233</v>
      </c>
      <c r="E29" s="5" t="s">
        <v>792</v>
      </c>
      <c r="F29" s="41" t="s">
        <v>724</v>
      </c>
      <c r="G29" s="5" t="s">
        <v>793</v>
      </c>
    </row>
    <row r="30" customFormat="false" ht="15" hidden="false" customHeight="false" outlineLevel="0" collapsed="false">
      <c r="A30" s="40" t="s">
        <v>756</v>
      </c>
      <c r="B30" s="5" t="s">
        <v>782</v>
      </c>
      <c r="C30" s="5" t="s">
        <v>794</v>
      </c>
      <c r="D30" s="5" t="s">
        <v>233</v>
      </c>
      <c r="E30" s="5" t="s">
        <v>246</v>
      </c>
      <c r="F30" s="41" t="s">
        <v>769</v>
      </c>
      <c r="G30" s="5" t="s">
        <v>795</v>
      </c>
    </row>
    <row r="31" customFormat="false" ht="23.85" hidden="false" customHeight="false" outlineLevel="0" collapsed="false">
      <c r="A31" s="40" t="s">
        <v>756</v>
      </c>
      <c r="B31" s="5" t="s">
        <v>796</v>
      </c>
      <c r="C31" s="5" t="s">
        <v>797</v>
      </c>
      <c r="D31" s="5" t="s">
        <v>248</v>
      </c>
      <c r="E31" s="5" t="s">
        <v>798</v>
      </c>
      <c r="F31" s="41" t="s">
        <v>713</v>
      </c>
      <c r="G31" s="5" t="s">
        <v>799</v>
      </c>
    </row>
    <row r="32" customFormat="false" ht="23.85" hidden="false" customHeight="false" outlineLevel="0" collapsed="false">
      <c r="A32" s="40" t="s">
        <v>756</v>
      </c>
      <c r="B32" s="5" t="s">
        <v>800</v>
      </c>
      <c r="C32" s="5" t="s">
        <v>801</v>
      </c>
      <c r="D32" s="5" t="s">
        <v>261</v>
      </c>
      <c r="E32" s="5" t="s">
        <v>802</v>
      </c>
      <c r="F32" s="41" t="s">
        <v>13</v>
      </c>
      <c r="G32" s="5" t="s">
        <v>803</v>
      </c>
    </row>
    <row r="33" customFormat="false" ht="15" hidden="false" customHeight="false" outlineLevel="0" collapsed="false">
      <c r="A33" s="40" t="s">
        <v>756</v>
      </c>
      <c r="B33" s="5" t="s">
        <v>800</v>
      </c>
      <c r="C33" s="5" t="s">
        <v>804</v>
      </c>
      <c r="D33" s="5" t="s">
        <v>261</v>
      </c>
      <c r="E33" s="5" t="s">
        <v>805</v>
      </c>
      <c r="F33" s="41" t="s">
        <v>13</v>
      </c>
      <c r="G33" s="5" t="s">
        <v>806</v>
      </c>
    </row>
    <row r="34" customFormat="false" ht="15" hidden="false" customHeight="false" outlineLevel="0" collapsed="false">
      <c r="A34" s="40" t="s">
        <v>756</v>
      </c>
      <c r="B34" s="5" t="s">
        <v>800</v>
      </c>
      <c r="C34" s="5" t="s">
        <v>807</v>
      </c>
      <c r="D34" s="5" t="s">
        <v>261</v>
      </c>
      <c r="E34" s="5" t="s">
        <v>808</v>
      </c>
      <c r="F34" s="41" t="s">
        <v>769</v>
      </c>
      <c r="G34" s="5" t="s">
        <v>809</v>
      </c>
    </row>
    <row r="35" customFormat="false" ht="15" hidden="false" customHeight="false" outlineLevel="0" collapsed="false">
      <c r="A35" s="40" t="s">
        <v>756</v>
      </c>
      <c r="B35" s="5" t="s">
        <v>800</v>
      </c>
      <c r="C35" s="5" t="s">
        <v>810</v>
      </c>
      <c r="D35" s="5" t="s">
        <v>261</v>
      </c>
      <c r="E35" s="5" t="s">
        <v>281</v>
      </c>
      <c r="F35" s="41" t="s">
        <v>769</v>
      </c>
      <c r="G35" s="5" t="s">
        <v>811</v>
      </c>
    </row>
    <row r="36" customFormat="false" ht="15" hidden="false" customHeight="false" outlineLevel="0" collapsed="false">
      <c r="A36" s="40" t="s">
        <v>756</v>
      </c>
      <c r="B36" s="5" t="s">
        <v>800</v>
      </c>
      <c r="C36" s="5" t="s">
        <v>812</v>
      </c>
      <c r="D36" s="5" t="s">
        <v>261</v>
      </c>
      <c r="E36" s="5" t="s">
        <v>74</v>
      </c>
      <c r="F36" s="41" t="s">
        <v>724</v>
      </c>
      <c r="G36" s="5" t="s">
        <v>813</v>
      </c>
    </row>
    <row r="37" customFormat="false" ht="15" hidden="false" customHeight="false" outlineLevel="0" collapsed="false">
      <c r="A37" s="40" t="s">
        <v>756</v>
      </c>
      <c r="B37" s="5" t="s">
        <v>814</v>
      </c>
      <c r="C37" s="5" t="s">
        <v>815</v>
      </c>
      <c r="D37" s="5" t="s">
        <v>284</v>
      </c>
      <c r="E37" s="5" t="s">
        <v>816</v>
      </c>
      <c r="F37" s="41" t="s">
        <v>817</v>
      </c>
      <c r="G37" s="5" t="s">
        <v>818</v>
      </c>
    </row>
    <row r="38" customFormat="false" ht="23.85" hidden="false" customHeight="false" outlineLevel="0" collapsed="false">
      <c r="A38" s="38" t="s">
        <v>819</v>
      </c>
      <c r="B38" s="21" t="s">
        <v>820</v>
      </c>
      <c r="C38" s="21" t="s">
        <v>821</v>
      </c>
      <c r="D38" s="21" t="s">
        <v>294</v>
      </c>
      <c r="E38" s="21" t="s">
        <v>822</v>
      </c>
      <c r="F38" s="39" t="s">
        <v>13</v>
      </c>
      <c r="G38" s="21" t="s">
        <v>823</v>
      </c>
    </row>
    <row r="39" customFormat="false" ht="23.85" hidden="false" customHeight="false" outlineLevel="0" collapsed="false">
      <c r="A39" s="40" t="s">
        <v>819</v>
      </c>
      <c r="B39" s="5" t="s">
        <v>820</v>
      </c>
      <c r="C39" s="5" t="s">
        <v>824</v>
      </c>
      <c r="D39" s="5" t="s">
        <v>294</v>
      </c>
      <c r="E39" s="5" t="s">
        <v>90</v>
      </c>
      <c r="F39" s="41" t="s">
        <v>769</v>
      </c>
      <c r="G39" s="5" t="s">
        <v>825</v>
      </c>
    </row>
    <row r="40" customFormat="false" ht="23.85" hidden="false" customHeight="false" outlineLevel="0" collapsed="false">
      <c r="A40" s="40" t="s">
        <v>819</v>
      </c>
      <c r="B40" s="5" t="s">
        <v>820</v>
      </c>
      <c r="C40" s="5" t="s">
        <v>764</v>
      </c>
      <c r="D40" s="5" t="s">
        <v>294</v>
      </c>
      <c r="E40" s="5" t="s">
        <v>55</v>
      </c>
      <c r="F40" s="41" t="s">
        <v>13</v>
      </c>
      <c r="G40" s="5" t="s">
        <v>826</v>
      </c>
    </row>
    <row r="41" customFormat="false" ht="23.85" hidden="false" customHeight="false" outlineLevel="0" collapsed="false">
      <c r="A41" s="40" t="s">
        <v>819</v>
      </c>
      <c r="B41" s="5" t="s">
        <v>820</v>
      </c>
      <c r="C41" s="5" t="s">
        <v>827</v>
      </c>
      <c r="D41" s="5" t="s">
        <v>294</v>
      </c>
      <c r="E41" s="5" t="s">
        <v>311</v>
      </c>
      <c r="F41" s="41" t="s">
        <v>769</v>
      </c>
      <c r="G41" s="5" t="s">
        <v>828</v>
      </c>
    </row>
    <row r="42" customFormat="false" ht="23.85" hidden="false" customHeight="false" outlineLevel="0" collapsed="false">
      <c r="A42" s="40" t="s">
        <v>819</v>
      </c>
      <c r="B42" s="5" t="s">
        <v>820</v>
      </c>
      <c r="C42" s="5" t="s">
        <v>829</v>
      </c>
      <c r="D42" s="5" t="s">
        <v>294</v>
      </c>
      <c r="E42" s="5" t="s">
        <v>830</v>
      </c>
      <c r="F42" s="41" t="s">
        <v>769</v>
      </c>
      <c r="G42" s="5" t="s">
        <v>831</v>
      </c>
    </row>
    <row r="43" customFormat="false" ht="23.85" hidden="false" customHeight="false" outlineLevel="0" collapsed="false">
      <c r="A43" s="40" t="s">
        <v>819</v>
      </c>
      <c r="B43" s="5" t="s">
        <v>820</v>
      </c>
      <c r="C43" s="5" t="s">
        <v>832</v>
      </c>
      <c r="D43" s="5" t="s">
        <v>294</v>
      </c>
      <c r="E43" s="5" t="s">
        <v>298</v>
      </c>
      <c r="F43" s="41" t="s">
        <v>13</v>
      </c>
      <c r="G43" s="5" t="s">
        <v>833</v>
      </c>
    </row>
    <row r="44" customFormat="false" ht="23.85" hidden="false" customHeight="false" outlineLevel="0" collapsed="false">
      <c r="A44" s="40" t="s">
        <v>819</v>
      </c>
      <c r="B44" s="5" t="s">
        <v>820</v>
      </c>
      <c r="C44" s="5" t="s">
        <v>834</v>
      </c>
      <c r="D44" s="5" t="s">
        <v>294</v>
      </c>
      <c r="E44" s="5" t="s">
        <v>835</v>
      </c>
      <c r="F44" s="41" t="s">
        <v>724</v>
      </c>
      <c r="G44" s="5" t="s">
        <v>836</v>
      </c>
    </row>
    <row r="45" customFormat="false" ht="23.85" hidden="false" customHeight="false" outlineLevel="0" collapsed="false">
      <c r="A45" s="40" t="s">
        <v>819</v>
      </c>
      <c r="B45" s="5" t="s">
        <v>837</v>
      </c>
      <c r="C45" s="5" t="s">
        <v>838</v>
      </c>
      <c r="D45" s="5" t="s">
        <v>313</v>
      </c>
      <c r="E45" s="5" t="s">
        <v>839</v>
      </c>
      <c r="F45" s="41" t="s">
        <v>769</v>
      </c>
      <c r="G45" s="5" t="s">
        <v>840</v>
      </c>
    </row>
    <row r="46" customFormat="false" ht="23.85" hidden="false" customHeight="false" outlineLevel="0" collapsed="false">
      <c r="A46" s="40" t="s">
        <v>819</v>
      </c>
      <c r="B46" s="5" t="s">
        <v>837</v>
      </c>
      <c r="C46" s="5" t="s">
        <v>841</v>
      </c>
      <c r="D46" s="5" t="s">
        <v>313</v>
      </c>
      <c r="E46" s="5" t="s">
        <v>74</v>
      </c>
      <c r="F46" s="41" t="s">
        <v>842</v>
      </c>
      <c r="G46" s="5" t="s">
        <v>843</v>
      </c>
    </row>
    <row r="47" customFormat="false" ht="23.85" hidden="false" customHeight="false" outlineLevel="0" collapsed="false">
      <c r="A47" s="40" t="s">
        <v>819</v>
      </c>
      <c r="B47" s="5" t="s">
        <v>844</v>
      </c>
      <c r="C47" s="5" t="s">
        <v>845</v>
      </c>
      <c r="D47" s="5" t="s">
        <v>326</v>
      </c>
      <c r="E47" s="5" t="s">
        <v>846</v>
      </c>
      <c r="F47" s="41" t="s">
        <v>769</v>
      </c>
      <c r="G47" s="5" t="s">
        <v>847</v>
      </c>
    </row>
    <row r="48" customFormat="false" ht="23.85" hidden="false" customHeight="false" outlineLevel="0" collapsed="false">
      <c r="A48" s="40" t="s">
        <v>819</v>
      </c>
      <c r="B48" s="5" t="s">
        <v>844</v>
      </c>
      <c r="C48" s="5" t="s">
        <v>848</v>
      </c>
      <c r="D48" s="5" t="s">
        <v>335</v>
      </c>
      <c r="E48" s="5" t="s">
        <v>849</v>
      </c>
      <c r="F48" s="41" t="s">
        <v>13</v>
      </c>
      <c r="G48" s="5" t="s">
        <v>850</v>
      </c>
    </row>
    <row r="49" customFormat="false" ht="23.85" hidden="false" customHeight="false" outlineLevel="0" collapsed="false">
      <c r="A49" s="40" t="s">
        <v>819</v>
      </c>
      <c r="B49" s="5" t="s">
        <v>844</v>
      </c>
      <c r="C49" s="5" t="s">
        <v>851</v>
      </c>
      <c r="D49" s="5" t="s">
        <v>402</v>
      </c>
      <c r="E49" s="5" t="s">
        <v>852</v>
      </c>
      <c r="F49" s="41" t="s">
        <v>13</v>
      </c>
      <c r="G49" s="5" t="s">
        <v>853</v>
      </c>
    </row>
    <row r="50" customFormat="false" ht="23.85" hidden="false" customHeight="false" outlineLevel="0" collapsed="false">
      <c r="A50" s="40" t="s">
        <v>819</v>
      </c>
      <c r="B50" s="5" t="s">
        <v>854</v>
      </c>
      <c r="C50" s="5" t="s">
        <v>855</v>
      </c>
      <c r="D50" s="5" t="s">
        <v>294</v>
      </c>
      <c r="E50" s="5" t="s">
        <v>856</v>
      </c>
      <c r="F50" s="41" t="s">
        <v>713</v>
      </c>
      <c r="G50" s="5" t="s">
        <v>857</v>
      </c>
    </row>
    <row r="51" customFormat="false" ht="23.85" hidden="false" customHeight="false" outlineLevel="0" collapsed="false">
      <c r="A51" s="40" t="s">
        <v>819</v>
      </c>
      <c r="B51" s="5" t="s">
        <v>854</v>
      </c>
      <c r="C51" s="5" t="s">
        <v>858</v>
      </c>
      <c r="D51" s="5" t="s">
        <v>294</v>
      </c>
      <c r="E51" s="5" t="s">
        <v>74</v>
      </c>
      <c r="F51" s="41" t="s">
        <v>724</v>
      </c>
      <c r="G51" s="5" t="s">
        <v>859</v>
      </c>
    </row>
    <row r="52" customFormat="false" ht="23.85" hidden="false" customHeight="false" outlineLevel="0" collapsed="false">
      <c r="A52" s="38" t="s">
        <v>860</v>
      </c>
      <c r="B52" s="21" t="s">
        <v>861</v>
      </c>
      <c r="C52" s="21" t="s">
        <v>862</v>
      </c>
      <c r="D52" s="21" t="s">
        <v>343</v>
      </c>
      <c r="E52" s="21" t="s">
        <v>295</v>
      </c>
      <c r="F52" s="39" t="s">
        <v>13</v>
      </c>
      <c r="G52" s="21" t="s">
        <v>863</v>
      </c>
    </row>
    <row r="53" customFormat="false" ht="23.85" hidden="false" customHeight="false" outlineLevel="0" collapsed="false">
      <c r="A53" s="40" t="s">
        <v>860</v>
      </c>
      <c r="B53" s="5" t="s">
        <v>861</v>
      </c>
      <c r="C53" s="5" t="s">
        <v>864</v>
      </c>
      <c r="D53" s="5" t="s">
        <v>343</v>
      </c>
      <c r="E53" s="5" t="s">
        <v>262</v>
      </c>
      <c r="F53" s="41" t="s">
        <v>13</v>
      </c>
      <c r="G53" s="5" t="s">
        <v>865</v>
      </c>
    </row>
    <row r="54" customFormat="false" ht="23.85" hidden="false" customHeight="false" outlineLevel="0" collapsed="false">
      <c r="A54" s="40" t="s">
        <v>860</v>
      </c>
      <c r="B54" s="5" t="s">
        <v>861</v>
      </c>
      <c r="C54" s="5" t="s">
        <v>866</v>
      </c>
      <c r="D54" s="5" t="s">
        <v>343</v>
      </c>
      <c r="E54" s="5" t="s">
        <v>351</v>
      </c>
      <c r="F54" s="41" t="s">
        <v>769</v>
      </c>
      <c r="G54" s="5" t="s">
        <v>867</v>
      </c>
    </row>
    <row r="55" customFormat="false" ht="23.85" hidden="false" customHeight="false" outlineLevel="0" collapsed="false">
      <c r="A55" s="40" t="s">
        <v>860</v>
      </c>
      <c r="B55" s="5" t="s">
        <v>861</v>
      </c>
      <c r="C55" s="5" t="s">
        <v>868</v>
      </c>
      <c r="D55" s="5" t="s">
        <v>343</v>
      </c>
      <c r="E55" s="5" t="s">
        <v>353</v>
      </c>
      <c r="F55" s="41" t="s">
        <v>769</v>
      </c>
      <c r="G55" s="5" t="s">
        <v>869</v>
      </c>
    </row>
    <row r="56" customFormat="false" ht="23.85" hidden="false" customHeight="false" outlineLevel="0" collapsed="false">
      <c r="A56" s="40" t="s">
        <v>860</v>
      </c>
      <c r="B56" s="5" t="s">
        <v>861</v>
      </c>
      <c r="C56" s="5" t="s">
        <v>870</v>
      </c>
      <c r="D56" s="5" t="s">
        <v>343</v>
      </c>
      <c r="E56" s="5" t="s">
        <v>347</v>
      </c>
      <c r="F56" s="41" t="s">
        <v>13</v>
      </c>
      <c r="G56" s="5" t="s">
        <v>871</v>
      </c>
    </row>
    <row r="57" customFormat="false" ht="23.85" hidden="false" customHeight="false" outlineLevel="0" collapsed="false">
      <c r="A57" s="40" t="s">
        <v>860</v>
      </c>
      <c r="B57" s="5" t="s">
        <v>861</v>
      </c>
      <c r="C57" s="5" t="s">
        <v>872</v>
      </c>
      <c r="D57" s="5" t="s">
        <v>343</v>
      </c>
      <c r="E57" s="5" t="s">
        <v>873</v>
      </c>
      <c r="F57" s="41" t="s">
        <v>769</v>
      </c>
      <c r="G57" s="5" t="s">
        <v>874</v>
      </c>
    </row>
    <row r="58" customFormat="false" ht="23.85" hidden="false" customHeight="false" outlineLevel="0" collapsed="false">
      <c r="A58" s="40" t="s">
        <v>860</v>
      </c>
      <c r="B58" s="5" t="s">
        <v>861</v>
      </c>
      <c r="C58" s="5" t="s">
        <v>875</v>
      </c>
      <c r="D58" s="5" t="s">
        <v>343</v>
      </c>
      <c r="E58" s="5" t="s">
        <v>876</v>
      </c>
      <c r="F58" s="41" t="s">
        <v>724</v>
      </c>
      <c r="G58" s="5" t="s">
        <v>877</v>
      </c>
    </row>
    <row r="59" customFormat="false" ht="23.85" hidden="false" customHeight="false" outlineLevel="0" collapsed="false">
      <c r="A59" s="40" t="s">
        <v>860</v>
      </c>
      <c r="B59" s="5" t="s">
        <v>878</v>
      </c>
      <c r="C59" s="5" t="s">
        <v>879</v>
      </c>
      <c r="D59" s="5" t="s">
        <v>360</v>
      </c>
      <c r="E59" s="5" t="s">
        <v>880</v>
      </c>
      <c r="F59" s="41" t="s">
        <v>13</v>
      </c>
      <c r="G59" s="5" t="s">
        <v>881</v>
      </c>
    </row>
    <row r="60" customFormat="false" ht="23.85" hidden="false" customHeight="false" outlineLevel="0" collapsed="false">
      <c r="A60" s="40" t="s">
        <v>860</v>
      </c>
      <c r="B60" s="5" t="s">
        <v>878</v>
      </c>
      <c r="C60" s="5" t="s">
        <v>882</v>
      </c>
      <c r="D60" s="5" t="s">
        <v>360</v>
      </c>
      <c r="E60" s="5" t="s">
        <v>883</v>
      </c>
      <c r="F60" s="41" t="s">
        <v>13</v>
      </c>
      <c r="G60" s="5" t="s">
        <v>884</v>
      </c>
    </row>
    <row r="61" customFormat="false" ht="23.85" hidden="false" customHeight="false" outlineLevel="0" collapsed="false">
      <c r="A61" s="40" t="s">
        <v>860</v>
      </c>
      <c r="B61" s="5" t="s">
        <v>878</v>
      </c>
      <c r="C61" s="5" t="s">
        <v>885</v>
      </c>
      <c r="D61" s="5" t="s">
        <v>360</v>
      </c>
      <c r="E61" s="5" t="s">
        <v>886</v>
      </c>
      <c r="F61" s="41" t="s">
        <v>713</v>
      </c>
      <c r="G61" s="5" t="s">
        <v>887</v>
      </c>
    </row>
    <row r="62" customFormat="false" ht="23.85" hidden="false" customHeight="false" outlineLevel="0" collapsed="false">
      <c r="A62" s="40" t="s">
        <v>860</v>
      </c>
      <c r="B62" s="5" t="s">
        <v>878</v>
      </c>
      <c r="C62" s="5" t="s">
        <v>888</v>
      </c>
      <c r="D62" s="5" t="s">
        <v>360</v>
      </c>
      <c r="E62" s="5" t="s">
        <v>889</v>
      </c>
      <c r="F62" s="41" t="s">
        <v>16</v>
      </c>
      <c r="G62" s="5" t="s">
        <v>890</v>
      </c>
    </row>
    <row r="63" customFormat="false" ht="23.85" hidden="false" customHeight="false" outlineLevel="0" collapsed="false">
      <c r="A63" s="40" t="s">
        <v>860</v>
      </c>
      <c r="B63" s="5" t="s">
        <v>878</v>
      </c>
      <c r="C63" s="5" t="s">
        <v>891</v>
      </c>
      <c r="D63" s="5" t="s">
        <v>662</v>
      </c>
      <c r="E63" s="5" t="s">
        <v>892</v>
      </c>
      <c r="F63" s="41" t="s">
        <v>13</v>
      </c>
      <c r="G63" s="5" t="s">
        <v>893</v>
      </c>
    </row>
    <row r="64" customFormat="false" ht="23.85" hidden="false" customHeight="false" outlineLevel="0" collapsed="false">
      <c r="A64" s="40" t="s">
        <v>860</v>
      </c>
      <c r="B64" s="5" t="s">
        <v>894</v>
      </c>
      <c r="C64" s="5" t="s">
        <v>895</v>
      </c>
      <c r="D64" s="5" t="s">
        <v>380</v>
      </c>
      <c r="E64" s="5" t="s">
        <v>896</v>
      </c>
      <c r="F64" s="41" t="s">
        <v>713</v>
      </c>
      <c r="G64" s="5" t="s">
        <v>897</v>
      </c>
    </row>
    <row r="65" customFormat="false" ht="23.85" hidden="false" customHeight="false" outlineLevel="0" collapsed="false">
      <c r="A65" s="40" t="s">
        <v>860</v>
      </c>
      <c r="B65" s="5" t="s">
        <v>894</v>
      </c>
      <c r="C65" s="5" t="s">
        <v>898</v>
      </c>
      <c r="D65" s="5" t="s">
        <v>343</v>
      </c>
      <c r="E65" s="5" t="s">
        <v>246</v>
      </c>
      <c r="F65" s="41" t="s">
        <v>713</v>
      </c>
      <c r="G65" s="5" t="s">
        <v>899</v>
      </c>
    </row>
    <row r="66" customFormat="false" ht="23.85" hidden="false" customHeight="false" outlineLevel="0" collapsed="false">
      <c r="A66" s="40" t="s">
        <v>860</v>
      </c>
      <c r="B66" s="5" t="s">
        <v>900</v>
      </c>
      <c r="C66" s="5" t="s">
        <v>901</v>
      </c>
      <c r="D66" s="5" t="s">
        <v>902</v>
      </c>
      <c r="E66" s="5" t="s">
        <v>903</v>
      </c>
      <c r="F66" s="41" t="s">
        <v>904</v>
      </c>
      <c r="G66" s="5" t="s">
        <v>905</v>
      </c>
    </row>
    <row r="67" customFormat="false" ht="23.85" hidden="false" customHeight="false" outlineLevel="0" collapsed="false">
      <c r="A67" s="38" t="s">
        <v>906</v>
      </c>
      <c r="B67" s="21" t="s">
        <v>907</v>
      </c>
      <c r="C67" s="21" t="s">
        <v>908</v>
      </c>
      <c r="D67" s="21" t="s">
        <v>909</v>
      </c>
      <c r="E67" s="21" t="s">
        <v>910</v>
      </c>
      <c r="F67" s="39" t="s">
        <v>713</v>
      </c>
      <c r="G67" s="21" t="s">
        <v>911</v>
      </c>
    </row>
    <row r="68" customFormat="false" ht="23.85" hidden="false" customHeight="false" outlineLevel="0" collapsed="false">
      <c r="A68" s="40" t="s">
        <v>906</v>
      </c>
      <c r="B68" s="5" t="s">
        <v>907</v>
      </c>
      <c r="C68" s="5" t="s">
        <v>912</v>
      </c>
      <c r="D68" s="5" t="s">
        <v>402</v>
      </c>
      <c r="E68" s="5" t="s">
        <v>407</v>
      </c>
      <c r="F68" s="41" t="s">
        <v>724</v>
      </c>
      <c r="G68" s="5" t="s">
        <v>913</v>
      </c>
    </row>
    <row r="69" customFormat="false" ht="23.85" hidden="false" customHeight="false" outlineLevel="0" collapsed="false">
      <c r="A69" s="40" t="s">
        <v>906</v>
      </c>
      <c r="B69" s="5" t="s">
        <v>907</v>
      </c>
      <c r="C69" s="5" t="s">
        <v>914</v>
      </c>
      <c r="D69" s="5" t="s">
        <v>402</v>
      </c>
      <c r="E69" s="5" t="s">
        <v>409</v>
      </c>
      <c r="F69" s="41" t="s">
        <v>724</v>
      </c>
      <c r="G69" s="5" t="s">
        <v>915</v>
      </c>
    </row>
    <row r="70" customFormat="false" ht="23.85" hidden="false" customHeight="false" outlineLevel="0" collapsed="false">
      <c r="A70" s="40" t="s">
        <v>906</v>
      </c>
      <c r="B70" s="5" t="s">
        <v>916</v>
      </c>
      <c r="C70" s="5" t="s">
        <v>917</v>
      </c>
      <c r="D70" s="5" t="s">
        <v>420</v>
      </c>
      <c r="E70" s="5" t="s">
        <v>918</v>
      </c>
      <c r="F70" s="41" t="s">
        <v>713</v>
      </c>
      <c r="G70" s="5" t="s">
        <v>919</v>
      </c>
    </row>
    <row r="71" customFormat="false" ht="23.85" hidden="false" customHeight="false" outlineLevel="0" collapsed="false">
      <c r="A71" s="40" t="s">
        <v>906</v>
      </c>
      <c r="B71" s="5" t="s">
        <v>916</v>
      </c>
      <c r="C71" s="5" t="s">
        <v>920</v>
      </c>
      <c r="D71" s="5" t="s">
        <v>921</v>
      </c>
      <c r="E71" s="5" t="s">
        <v>922</v>
      </c>
      <c r="F71" s="41" t="s">
        <v>713</v>
      </c>
      <c r="G71" s="5" t="s">
        <v>923</v>
      </c>
    </row>
    <row r="72" customFormat="false" ht="23.85" hidden="false" customHeight="false" outlineLevel="0" collapsed="false">
      <c r="A72" s="40" t="s">
        <v>906</v>
      </c>
      <c r="B72" s="5" t="s">
        <v>916</v>
      </c>
      <c r="C72" s="5" t="s">
        <v>924</v>
      </c>
      <c r="D72" s="5" t="s">
        <v>452</v>
      </c>
      <c r="E72" s="5" t="s">
        <v>925</v>
      </c>
      <c r="F72" s="41" t="s">
        <v>769</v>
      </c>
      <c r="G72" s="5" t="s">
        <v>926</v>
      </c>
    </row>
    <row r="73" customFormat="false" ht="23.85" hidden="false" customHeight="false" outlineLevel="0" collapsed="false">
      <c r="A73" s="40" t="s">
        <v>906</v>
      </c>
      <c r="B73" s="5" t="s">
        <v>916</v>
      </c>
      <c r="C73" s="5" t="s">
        <v>927</v>
      </c>
      <c r="D73" s="5" t="s">
        <v>452</v>
      </c>
      <c r="E73" s="5" t="s">
        <v>461</v>
      </c>
      <c r="F73" s="41" t="s">
        <v>769</v>
      </c>
      <c r="G73" s="5" t="s">
        <v>928</v>
      </c>
    </row>
    <row r="74" customFormat="false" ht="23.85" hidden="false" customHeight="false" outlineLevel="0" collapsed="false">
      <c r="A74" s="40" t="s">
        <v>906</v>
      </c>
      <c r="B74" s="5" t="s">
        <v>916</v>
      </c>
      <c r="C74" s="5" t="s">
        <v>929</v>
      </c>
      <c r="D74" s="5" t="s">
        <v>438</v>
      </c>
      <c r="E74" s="5" t="s">
        <v>450</v>
      </c>
      <c r="F74" s="41" t="s">
        <v>769</v>
      </c>
      <c r="G74" s="5" t="s">
        <v>930</v>
      </c>
    </row>
    <row r="75" customFormat="false" ht="23.85" hidden="false" customHeight="false" outlineLevel="0" collapsed="false">
      <c r="A75" s="40" t="s">
        <v>906</v>
      </c>
      <c r="B75" s="5" t="s">
        <v>916</v>
      </c>
      <c r="C75" s="5" t="s">
        <v>931</v>
      </c>
      <c r="D75" s="5" t="s">
        <v>438</v>
      </c>
      <c r="E75" s="5" t="s">
        <v>932</v>
      </c>
      <c r="F75" s="41" t="s">
        <v>769</v>
      </c>
      <c r="G75" s="5" t="s">
        <v>933</v>
      </c>
    </row>
    <row r="76" customFormat="false" ht="23.85" hidden="false" customHeight="false" outlineLevel="0" collapsed="false">
      <c r="A76" s="40" t="s">
        <v>906</v>
      </c>
      <c r="B76" s="5" t="s">
        <v>916</v>
      </c>
      <c r="C76" s="5" t="s">
        <v>934</v>
      </c>
      <c r="D76" s="5" t="s">
        <v>438</v>
      </c>
      <c r="E76" s="5" t="s">
        <v>876</v>
      </c>
      <c r="F76" s="41" t="s">
        <v>724</v>
      </c>
      <c r="G76" s="5" t="s">
        <v>935</v>
      </c>
    </row>
    <row r="77" customFormat="false" ht="23.85" hidden="false" customHeight="false" outlineLevel="0" collapsed="false">
      <c r="A77" s="40" t="s">
        <v>906</v>
      </c>
      <c r="B77" s="5" t="s">
        <v>936</v>
      </c>
      <c r="C77" s="5" t="s">
        <v>937</v>
      </c>
      <c r="D77" s="5" t="s">
        <v>938</v>
      </c>
      <c r="E77" s="5" t="s">
        <v>939</v>
      </c>
      <c r="F77" s="41" t="s">
        <v>713</v>
      </c>
      <c r="G77" s="5" t="s">
        <v>940</v>
      </c>
    </row>
    <row r="78" customFormat="false" ht="23.85" hidden="false" customHeight="false" outlineLevel="0" collapsed="false">
      <c r="A78" s="40" t="s">
        <v>906</v>
      </c>
      <c r="B78" s="5" t="s">
        <v>941</v>
      </c>
      <c r="C78" s="5" t="s">
        <v>942</v>
      </c>
      <c r="D78" s="5" t="s">
        <v>411</v>
      </c>
      <c r="E78" s="5" t="s">
        <v>943</v>
      </c>
      <c r="F78" s="41" t="s">
        <v>769</v>
      </c>
      <c r="G78" s="5" t="s">
        <v>944</v>
      </c>
    </row>
    <row r="79" customFormat="false" ht="23.85" hidden="false" customHeight="false" outlineLevel="0" collapsed="false">
      <c r="A79" s="40" t="s">
        <v>906</v>
      </c>
      <c r="B79" s="5" t="s">
        <v>941</v>
      </c>
      <c r="C79" s="5" t="s">
        <v>945</v>
      </c>
      <c r="D79" s="5" t="s">
        <v>420</v>
      </c>
      <c r="E79" s="5" t="s">
        <v>946</v>
      </c>
      <c r="F79" s="41" t="s">
        <v>13</v>
      </c>
      <c r="G79" s="5" t="s">
        <v>947</v>
      </c>
    </row>
    <row r="80" customFormat="false" ht="23.85" hidden="false" customHeight="false" outlineLevel="0" collapsed="false">
      <c r="A80" s="38" t="s">
        <v>948</v>
      </c>
      <c r="B80" s="21" t="s">
        <v>949</v>
      </c>
      <c r="C80" s="21" t="s">
        <v>950</v>
      </c>
      <c r="D80" s="21" t="s">
        <v>951</v>
      </c>
      <c r="E80" s="21" t="s">
        <v>952</v>
      </c>
      <c r="F80" s="39" t="s">
        <v>713</v>
      </c>
      <c r="G80" s="21" t="s">
        <v>953</v>
      </c>
    </row>
    <row r="81" customFormat="false" ht="23.85" hidden="false" customHeight="false" outlineLevel="0" collapsed="false">
      <c r="A81" s="40" t="s">
        <v>948</v>
      </c>
      <c r="B81" s="5" t="s">
        <v>949</v>
      </c>
      <c r="C81" s="5" t="s">
        <v>954</v>
      </c>
      <c r="D81" s="5" t="s">
        <v>485</v>
      </c>
      <c r="E81" s="5" t="s">
        <v>955</v>
      </c>
      <c r="F81" s="41" t="s">
        <v>713</v>
      </c>
      <c r="G81" s="5" t="s">
        <v>956</v>
      </c>
    </row>
    <row r="82" customFormat="false" ht="23.85" hidden="false" customHeight="false" outlineLevel="0" collapsed="false">
      <c r="A82" s="40" t="s">
        <v>948</v>
      </c>
      <c r="B82" s="5" t="s">
        <v>949</v>
      </c>
      <c r="C82" s="5" t="s">
        <v>957</v>
      </c>
      <c r="D82" s="5" t="s">
        <v>503</v>
      </c>
      <c r="E82" s="5" t="s">
        <v>958</v>
      </c>
      <c r="F82" s="41" t="s">
        <v>713</v>
      </c>
      <c r="G82" s="5" t="s">
        <v>959</v>
      </c>
    </row>
    <row r="83" customFormat="false" ht="23.85" hidden="false" customHeight="false" outlineLevel="0" collapsed="false">
      <c r="A83" s="40" t="s">
        <v>948</v>
      </c>
      <c r="B83" s="5" t="s">
        <v>949</v>
      </c>
      <c r="C83" s="5" t="s">
        <v>960</v>
      </c>
      <c r="D83" s="5" t="s">
        <v>503</v>
      </c>
      <c r="E83" s="5" t="s">
        <v>199</v>
      </c>
      <c r="F83" s="41" t="s">
        <v>724</v>
      </c>
      <c r="G83" s="5" t="s">
        <v>961</v>
      </c>
    </row>
    <row r="84" customFormat="false" ht="23.85" hidden="false" customHeight="false" outlineLevel="0" collapsed="false">
      <c r="A84" s="40" t="s">
        <v>948</v>
      </c>
      <c r="B84" s="5" t="s">
        <v>949</v>
      </c>
      <c r="C84" s="5" t="s">
        <v>962</v>
      </c>
      <c r="D84" s="5" t="s">
        <v>503</v>
      </c>
      <c r="E84" s="5" t="s">
        <v>963</v>
      </c>
      <c r="F84" s="41" t="s">
        <v>13</v>
      </c>
      <c r="G84" s="5" t="s">
        <v>964</v>
      </c>
    </row>
    <row r="85" customFormat="false" ht="23.85" hidden="false" customHeight="false" outlineLevel="0" collapsed="false">
      <c r="A85" s="40" t="s">
        <v>948</v>
      </c>
      <c r="B85" s="5" t="s">
        <v>965</v>
      </c>
      <c r="C85" s="5" t="s">
        <v>966</v>
      </c>
      <c r="D85" s="5" t="s">
        <v>463</v>
      </c>
      <c r="E85" s="5" t="s">
        <v>967</v>
      </c>
      <c r="F85" s="41" t="s">
        <v>713</v>
      </c>
      <c r="G85" s="5" t="s">
        <v>968</v>
      </c>
    </row>
    <row r="86" customFormat="false" ht="23.85" hidden="false" customHeight="false" outlineLevel="0" collapsed="false">
      <c r="A86" s="40" t="s">
        <v>948</v>
      </c>
      <c r="B86" s="5" t="s">
        <v>969</v>
      </c>
      <c r="C86" s="5" t="s">
        <v>970</v>
      </c>
      <c r="D86" s="5" t="s">
        <v>515</v>
      </c>
      <c r="E86" s="5" t="s">
        <v>519</v>
      </c>
      <c r="F86" s="41" t="s">
        <v>713</v>
      </c>
      <c r="G86" s="5" t="s">
        <v>971</v>
      </c>
    </row>
    <row r="87" customFormat="false" ht="23.85" hidden="false" customHeight="false" outlineLevel="0" collapsed="false">
      <c r="A87" s="40" t="s">
        <v>948</v>
      </c>
      <c r="B87" s="5" t="s">
        <v>969</v>
      </c>
      <c r="C87" s="5" t="s">
        <v>972</v>
      </c>
      <c r="D87" s="5" t="s">
        <v>515</v>
      </c>
      <c r="E87" s="5" t="s">
        <v>973</v>
      </c>
      <c r="F87" s="41" t="s">
        <v>713</v>
      </c>
      <c r="G87" s="5" t="s">
        <v>974</v>
      </c>
    </row>
    <row r="88" customFormat="false" ht="23.85" hidden="false" customHeight="false" outlineLevel="0" collapsed="false">
      <c r="A88" s="40" t="s">
        <v>948</v>
      </c>
      <c r="B88" s="5" t="s">
        <v>969</v>
      </c>
      <c r="C88" s="5" t="s">
        <v>975</v>
      </c>
      <c r="D88" s="5" t="s">
        <v>515</v>
      </c>
      <c r="E88" s="5" t="s">
        <v>976</v>
      </c>
      <c r="F88" s="41" t="s">
        <v>13</v>
      </c>
      <c r="G88" s="5" t="s">
        <v>977</v>
      </c>
    </row>
    <row r="89" customFormat="false" ht="23.85" hidden="false" customHeight="false" outlineLevel="0" collapsed="false">
      <c r="A89" s="40" t="s">
        <v>948</v>
      </c>
      <c r="B89" s="5" t="s">
        <v>978</v>
      </c>
      <c r="C89" s="5" t="s">
        <v>979</v>
      </c>
      <c r="D89" s="5" t="s">
        <v>528</v>
      </c>
      <c r="E89" s="5" t="s">
        <v>980</v>
      </c>
      <c r="F89" s="41" t="s">
        <v>713</v>
      </c>
      <c r="G89" s="5" t="s">
        <v>981</v>
      </c>
    </row>
    <row r="90" customFormat="false" ht="23.85" hidden="false" customHeight="false" outlineLevel="0" collapsed="false">
      <c r="A90" s="40" t="s">
        <v>948</v>
      </c>
      <c r="B90" s="5" t="s">
        <v>978</v>
      </c>
      <c r="C90" s="5" t="s">
        <v>982</v>
      </c>
      <c r="D90" s="5" t="s">
        <v>538</v>
      </c>
      <c r="E90" s="5" t="s">
        <v>983</v>
      </c>
      <c r="F90" s="41" t="s">
        <v>713</v>
      </c>
      <c r="G90" s="5" t="s">
        <v>984</v>
      </c>
    </row>
    <row r="91" customFormat="false" ht="23.85" hidden="false" customHeight="false" outlineLevel="0" collapsed="false">
      <c r="A91" s="40" t="s">
        <v>948</v>
      </c>
      <c r="B91" s="5" t="s">
        <v>978</v>
      </c>
      <c r="C91" s="5" t="s">
        <v>985</v>
      </c>
      <c r="D91" s="5" t="s">
        <v>986</v>
      </c>
      <c r="E91" s="5" t="s">
        <v>987</v>
      </c>
      <c r="F91" s="41" t="s">
        <v>769</v>
      </c>
      <c r="G91" s="5" t="s">
        <v>988</v>
      </c>
    </row>
    <row r="92" customFormat="false" ht="23.85" hidden="false" customHeight="false" outlineLevel="0" collapsed="false">
      <c r="A92" s="40" t="s">
        <v>948</v>
      </c>
      <c r="B92" s="5" t="s">
        <v>989</v>
      </c>
      <c r="C92" s="5" t="s">
        <v>990</v>
      </c>
      <c r="D92" s="5" t="s">
        <v>472</v>
      </c>
      <c r="E92" s="5" t="s">
        <v>991</v>
      </c>
      <c r="F92" s="41" t="s">
        <v>769</v>
      </c>
      <c r="G92" s="5" t="s">
        <v>992</v>
      </c>
    </row>
    <row r="93" customFormat="false" ht="23.85" hidden="false" customHeight="false" outlineLevel="0" collapsed="false">
      <c r="A93" s="40" t="s">
        <v>948</v>
      </c>
      <c r="B93" s="5" t="s">
        <v>989</v>
      </c>
      <c r="C93" s="5" t="s">
        <v>993</v>
      </c>
      <c r="D93" s="5" t="s">
        <v>485</v>
      </c>
      <c r="E93" s="5" t="s">
        <v>994</v>
      </c>
      <c r="F93" s="41" t="s">
        <v>769</v>
      </c>
      <c r="G93" s="5" t="s">
        <v>995</v>
      </c>
    </row>
    <row r="94" customFormat="false" ht="23.85" hidden="false" customHeight="false" outlineLevel="0" collapsed="false">
      <c r="A94" s="38" t="s">
        <v>996</v>
      </c>
      <c r="B94" s="21" t="s">
        <v>997</v>
      </c>
      <c r="C94" s="21" t="s">
        <v>998</v>
      </c>
      <c r="D94" s="21" t="s">
        <v>547</v>
      </c>
      <c r="E94" s="21" t="s">
        <v>553</v>
      </c>
      <c r="F94" s="39" t="s">
        <v>13</v>
      </c>
      <c r="G94" s="21" t="s">
        <v>999</v>
      </c>
    </row>
    <row r="95" customFormat="false" ht="23.85" hidden="false" customHeight="false" outlineLevel="0" collapsed="false">
      <c r="A95" s="40" t="s">
        <v>996</v>
      </c>
      <c r="B95" s="5" t="s">
        <v>997</v>
      </c>
      <c r="C95" s="5" t="s">
        <v>1000</v>
      </c>
      <c r="D95" s="5" t="s">
        <v>547</v>
      </c>
      <c r="E95" s="5" t="s">
        <v>262</v>
      </c>
      <c r="F95" s="41" t="s">
        <v>13</v>
      </c>
      <c r="G95" s="5" t="s">
        <v>1001</v>
      </c>
    </row>
    <row r="96" customFormat="false" ht="23.85" hidden="false" customHeight="false" outlineLevel="0" collapsed="false">
      <c r="A96" s="40" t="s">
        <v>996</v>
      </c>
      <c r="B96" s="5" t="s">
        <v>997</v>
      </c>
      <c r="C96" s="5" t="s">
        <v>1002</v>
      </c>
      <c r="D96" s="5" t="s">
        <v>547</v>
      </c>
      <c r="E96" s="5" t="s">
        <v>1003</v>
      </c>
      <c r="F96" s="41" t="s">
        <v>769</v>
      </c>
      <c r="G96" s="5" t="s">
        <v>1004</v>
      </c>
    </row>
    <row r="97" customFormat="false" ht="23.85" hidden="false" customHeight="false" outlineLevel="0" collapsed="false">
      <c r="A97" s="40" t="s">
        <v>996</v>
      </c>
      <c r="B97" s="5" t="s">
        <v>997</v>
      </c>
      <c r="C97" s="5" t="s">
        <v>1005</v>
      </c>
      <c r="D97" s="5" t="s">
        <v>547</v>
      </c>
      <c r="E97" s="5" t="s">
        <v>303</v>
      </c>
      <c r="F97" s="41" t="s">
        <v>769</v>
      </c>
      <c r="G97" s="5" t="s">
        <v>557</v>
      </c>
    </row>
    <row r="98" customFormat="false" ht="23.85" hidden="false" customHeight="false" outlineLevel="0" collapsed="false">
      <c r="A98" s="40" t="s">
        <v>996</v>
      </c>
      <c r="B98" s="5" t="s">
        <v>997</v>
      </c>
      <c r="C98" s="5" t="s">
        <v>1006</v>
      </c>
      <c r="D98" s="5" t="s">
        <v>547</v>
      </c>
      <c r="E98" s="5" t="s">
        <v>1007</v>
      </c>
      <c r="F98" s="41" t="s">
        <v>769</v>
      </c>
      <c r="G98" s="5" t="s">
        <v>1008</v>
      </c>
    </row>
    <row r="99" customFormat="false" ht="23.85" hidden="false" customHeight="false" outlineLevel="0" collapsed="false">
      <c r="A99" s="40" t="s">
        <v>996</v>
      </c>
      <c r="B99" s="5" t="s">
        <v>997</v>
      </c>
      <c r="C99" s="5" t="s">
        <v>870</v>
      </c>
      <c r="D99" s="5" t="s">
        <v>547</v>
      </c>
      <c r="E99" s="5" t="s">
        <v>551</v>
      </c>
      <c r="F99" s="41" t="s">
        <v>13</v>
      </c>
      <c r="G99" s="5" t="s">
        <v>1009</v>
      </c>
    </row>
    <row r="100" customFormat="false" ht="23.85" hidden="false" customHeight="false" outlineLevel="0" collapsed="false">
      <c r="A100" s="40" t="s">
        <v>996</v>
      </c>
      <c r="B100" s="5" t="s">
        <v>997</v>
      </c>
      <c r="C100" s="5" t="s">
        <v>1010</v>
      </c>
      <c r="D100" s="5" t="s">
        <v>547</v>
      </c>
      <c r="E100" s="5" t="s">
        <v>562</v>
      </c>
      <c r="F100" s="41" t="s">
        <v>724</v>
      </c>
      <c r="G100" s="5" t="s">
        <v>1011</v>
      </c>
    </row>
    <row r="101" customFormat="false" ht="23.85" hidden="false" customHeight="false" outlineLevel="0" collapsed="false">
      <c r="A101" s="40" t="s">
        <v>996</v>
      </c>
      <c r="B101" s="5" t="s">
        <v>997</v>
      </c>
      <c r="C101" s="5" t="s">
        <v>1012</v>
      </c>
      <c r="D101" s="5" t="s">
        <v>614</v>
      </c>
      <c r="E101" s="5" t="s">
        <v>1013</v>
      </c>
      <c r="F101" s="41" t="s">
        <v>769</v>
      </c>
      <c r="G101" s="5" t="s">
        <v>1014</v>
      </c>
    </row>
    <row r="102" customFormat="false" ht="23.85" hidden="false" customHeight="false" outlineLevel="0" collapsed="false">
      <c r="A102" s="40" t="s">
        <v>996</v>
      </c>
      <c r="B102" s="5" t="s">
        <v>1015</v>
      </c>
      <c r="C102" s="5" t="s">
        <v>1016</v>
      </c>
      <c r="D102" s="5" t="s">
        <v>564</v>
      </c>
      <c r="E102" s="5" t="s">
        <v>1017</v>
      </c>
      <c r="F102" s="41" t="s">
        <v>769</v>
      </c>
      <c r="G102" s="5" t="s">
        <v>1018</v>
      </c>
    </row>
    <row r="103" customFormat="false" ht="23.85" hidden="false" customHeight="false" outlineLevel="0" collapsed="false">
      <c r="A103" s="40" t="s">
        <v>996</v>
      </c>
      <c r="B103" s="5" t="s">
        <v>1015</v>
      </c>
      <c r="C103" s="5" t="s">
        <v>1019</v>
      </c>
      <c r="D103" s="5" t="s">
        <v>564</v>
      </c>
      <c r="E103" s="5" t="s">
        <v>577</v>
      </c>
      <c r="F103" s="41" t="s">
        <v>769</v>
      </c>
      <c r="G103" s="5" t="s">
        <v>1020</v>
      </c>
    </row>
    <row r="104" customFormat="false" ht="23.85" hidden="false" customHeight="false" outlineLevel="0" collapsed="false">
      <c r="A104" s="40" t="s">
        <v>996</v>
      </c>
      <c r="B104" s="5" t="s">
        <v>1021</v>
      </c>
      <c r="C104" s="5" t="s">
        <v>1022</v>
      </c>
      <c r="D104" s="5" t="s">
        <v>579</v>
      </c>
      <c r="E104" s="5" t="s">
        <v>581</v>
      </c>
      <c r="F104" s="41" t="s">
        <v>13</v>
      </c>
      <c r="G104" s="5" t="s">
        <v>1023</v>
      </c>
    </row>
    <row r="105" customFormat="false" ht="23.85" hidden="false" customHeight="false" outlineLevel="0" collapsed="false">
      <c r="A105" s="40" t="s">
        <v>996</v>
      </c>
      <c r="B105" s="5" t="s">
        <v>1021</v>
      </c>
      <c r="C105" s="5" t="s">
        <v>1024</v>
      </c>
      <c r="D105" s="5" t="s">
        <v>579</v>
      </c>
      <c r="E105" s="5" t="s">
        <v>1025</v>
      </c>
      <c r="F105" s="41" t="s">
        <v>769</v>
      </c>
      <c r="G105" s="5" t="s">
        <v>1026</v>
      </c>
    </row>
    <row r="106" customFormat="false" ht="23.85" hidden="false" customHeight="false" outlineLevel="0" collapsed="false">
      <c r="A106" s="40" t="s">
        <v>996</v>
      </c>
      <c r="B106" s="5" t="s">
        <v>1027</v>
      </c>
      <c r="C106" s="5" t="s">
        <v>1028</v>
      </c>
      <c r="D106" s="5" t="s">
        <v>590</v>
      </c>
      <c r="E106" s="5" t="s">
        <v>1029</v>
      </c>
      <c r="F106" s="41" t="s">
        <v>769</v>
      </c>
      <c r="G106" s="5" t="s">
        <v>1030</v>
      </c>
    </row>
    <row r="107" customFormat="false" ht="23.85" hidden="false" customHeight="false" outlineLevel="0" collapsed="false">
      <c r="A107" s="40" t="s">
        <v>996</v>
      </c>
      <c r="B107" s="5" t="s">
        <v>1031</v>
      </c>
      <c r="C107" s="5" t="s">
        <v>1032</v>
      </c>
      <c r="D107" s="5" t="s">
        <v>602</v>
      </c>
      <c r="E107" s="5" t="s">
        <v>1033</v>
      </c>
      <c r="F107" s="41" t="s">
        <v>13</v>
      </c>
      <c r="G107" s="5" t="s">
        <v>1034</v>
      </c>
    </row>
    <row r="108" customFormat="false" ht="23.85" hidden="false" customHeight="false" outlineLevel="0" collapsed="false">
      <c r="A108" s="40" t="s">
        <v>996</v>
      </c>
      <c r="B108" s="5" t="s">
        <v>1031</v>
      </c>
      <c r="C108" s="5" t="s">
        <v>1035</v>
      </c>
      <c r="D108" s="5" t="s">
        <v>602</v>
      </c>
      <c r="E108" s="5" t="s">
        <v>1036</v>
      </c>
      <c r="F108" s="41" t="s">
        <v>724</v>
      </c>
      <c r="G108" s="5" t="s">
        <v>1037</v>
      </c>
    </row>
    <row r="109" customFormat="false" ht="23.85" hidden="false" customHeight="false" outlineLevel="0" collapsed="false">
      <c r="A109" s="40" t="s">
        <v>996</v>
      </c>
      <c r="B109" s="5" t="s">
        <v>1038</v>
      </c>
      <c r="C109" s="5" t="s">
        <v>1039</v>
      </c>
      <c r="D109" s="5" t="s">
        <v>677</v>
      </c>
      <c r="E109" s="5" t="s">
        <v>1040</v>
      </c>
      <c r="F109" s="41" t="s">
        <v>817</v>
      </c>
      <c r="G109" s="5" t="s">
        <v>1041</v>
      </c>
    </row>
    <row r="110" customFormat="false" ht="23.85" hidden="false" customHeight="false" outlineLevel="0" collapsed="false">
      <c r="A110" s="40" t="s">
        <v>996</v>
      </c>
      <c r="B110" s="5" t="s">
        <v>1042</v>
      </c>
      <c r="C110" s="5" t="s">
        <v>1043</v>
      </c>
      <c r="D110" s="5" t="s">
        <v>1044</v>
      </c>
      <c r="E110" s="5" t="s">
        <v>1045</v>
      </c>
      <c r="F110" s="41" t="s">
        <v>741</v>
      </c>
      <c r="G110" s="5" t="s">
        <v>1046</v>
      </c>
    </row>
  </sheetData>
  <autoFilter ref="A1:G1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2026-10-09T23:58:45Z</dcterms:created>
  <dc:creator>openpyxl</dc:creator>
  <dc:description/>
  <dc:language>en-US</dc:language>
  <cp:lastModifiedBy/>
  <dcterms:modified xsi:type="dcterms:W3CDTF">2026-10-09T23:58:45Z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